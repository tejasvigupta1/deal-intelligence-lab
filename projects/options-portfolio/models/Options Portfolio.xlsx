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 Summary" sheetId="2" state="visible" r:id="rId4"/>
    <sheet name="Strategy &amp; Risk" sheetId="3" state="visible" r:id="rId5"/>
    <sheet name="Pricing Model" sheetId="4" state="visible" r:id="rId6"/>
    <sheet name="Trade Blotter" sheetId="5" state="visible" r:id="rId7"/>
    <sheet name="Daily P&amp;L Monitor" sheetId="6" state="visible" r:id="rId8"/>
    <sheet name="Performanc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2" authorId="0">
      <text>
        <r>
          <rPr>
            <sz val="10"/>
            <rFont val="Arial"/>
            <family val="2"/>
          </rPr>
          <t xml:space="preserve">Source: Instructor-posted bid/offer and implied volatility marks, Mar 26, 2026, AD713 Team Project 2 template.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22 calendar days to May 16 expiry as of Apr 24 project end. T = 22/365.</t>
        </r>
      </text>
    </comment>
    <comment ref="E7" authorId="0">
      <text>
        <r>
          <rPr>
            <sz val="10"/>
            <rFont val="Arial"/>
            <family val="2"/>
          </rPr>
          <t xml:space="preserve">Source: Instructor-posted implied volatility marks, AD713 Team Project 2, updated through Apr 24, 2026.</t>
        </r>
      </text>
    </comment>
  </commentList>
</comments>
</file>

<file path=xl/sharedStrings.xml><?xml version="1.0" encoding="utf-8"?>
<sst xmlns="http://schemas.openxmlformats.org/spreadsheetml/2006/main" count="209" uniqueCount="181">
  <si>
    <t xml:space="preserve">BOSTON UNIVERSITY</t>
  </si>
  <si>
    <t xml:space="preserve">AD713  Derivative Securities and Markets</t>
  </si>
  <si>
    <t xml:space="preserve">S&amp;P 500 INDEX SHORT STRANGLE</t>
  </si>
  <si>
    <t xml:space="preserve">Systematic Volatility Monetization with Delta-Based Hedging</t>
  </si>
  <si>
    <t xml:space="preserve">Team Project 2  |  Options Portfolio Management</t>
  </si>
  <si>
    <t xml:space="preserve">Analyst:  Tejasvi Gupta</t>
  </si>
  <si>
    <t xml:space="preserve">Instructor:  Prof. Christopher Athaide</t>
  </si>
  <si>
    <t xml:space="preserve">Trading Period:  March 26 - April 24, 2026</t>
  </si>
  <si>
    <t xml:space="preserve">Option Expiry:  May 16, 2026 (SPX index options)</t>
  </si>
  <si>
    <t xml:space="preserve">Marking Convention:  End-of-day prices; instructor-posted implied volatilities</t>
  </si>
  <si>
    <t xml:space="preserve">WORKBOOK CONTENTS</t>
  </si>
  <si>
    <t xml:space="preserve">1.  Executive Summary  -  Strategy thesis, performance scorecard, and risk retrospective</t>
  </si>
  <si>
    <t xml:space="preserve">2.  Strategy &amp; Risk  -  Market view, position economics, break-evens, and hedge policy</t>
  </si>
  <si>
    <t xml:space="preserve">3.  Pricing Model  -  Black-Scholes-Merton valuation engine with full Greeks (live formulas)</t>
  </si>
  <si>
    <t xml:space="preserve">4.  Trade Blotter  -  Execution log: entries, roll, and risk-reducing close with rationale</t>
  </si>
  <si>
    <t xml:space="preserve">5.  Daily P&amp;L Monitor  -  Mark-to-market P&amp;L, portfolio delta and theta, daily desk commentary</t>
  </si>
  <si>
    <t xml:space="preserve">6.  Performance  -  Cumulative P&amp;L and spot-vs-strike charts</t>
  </si>
  <si>
    <t xml:space="preserve">Final Portfolio P&amp;L: +$135.31  |  ~29.8% of premium collected  |  4 executions over 21 trading days</t>
  </si>
  <si>
    <t xml:space="preserve">EXECUTIVE SUMMARY</t>
  </si>
  <si>
    <t xml:space="preserve">S&amp;P 500 Short Strangle  |  Mar 26 - Apr 24, 2026</t>
  </si>
  <si>
    <t xml:space="preserve">PERFORMANCE SCORECARD</t>
  </si>
  <si>
    <t xml:space="preserve">Net premium collected</t>
  </si>
  <si>
    <t xml:space="preserve">Executions (incl. roll legs)</t>
  </si>
  <si>
    <t xml:space="preserve">Final portfolio P&amp;L</t>
  </si>
  <si>
    <t xml:space="preserve">Trading days monitored</t>
  </si>
  <si>
    <t xml:space="preserve">Return on premium collected</t>
  </si>
  <si>
    <t xml:space="preserve">S&amp;P 500: initiation close</t>
  </si>
  <si>
    <t xml:space="preserve">Peak P&amp;L (Apr 7)</t>
  </si>
  <si>
    <t xml:space="preserve">S&amp;P 500: project-end close (ATH)</t>
  </si>
  <si>
    <t xml:space="preserve">Post-shock trough P&amp;L (Apr 9)</t>
  </si>
  <si>
    <t xml:space="preserve">Index move over period</t>
  </si>
  <si>
    <t xml:space="preserve">STRATEGY THESIS</t>
  </si>
  <si>
    <t xml:space="preserve">Initiated a short strangle on the S&amp;P 500 Index (sold 6385 put / sold 6595 call, May 16, 2026 expiry) to monetize elevated implied volatility. With the VIX at 25-30 on Middle East conflict risk, option premiums were rich relative to likely realized volatility, and conflict headlines appeared largely priced in. Thesis: index range-bound (~6365-6615) through expiry. Collected $453.70 in premium to harvest theta on both legs, with a stated policy of hedging when portfolio delta breached a +/-0.20 band.</t>
  </si>
  <si>
    <t xml:space="preserve">OUTCOME</t>
  </si>
  <si>
    <t xml:space="preserve">The position performed as designed for the first two weeks: the index held within the projected range, both legs decayed, and P&amp;L peaked at +$154.60 on Apr 7. On Apr 8 a ceasefire announcement drove the S&amp;P up ~2.5% (oil -17%, VIX to 21), pushing the short call deep in-the-money. The call had been rolled 6595 to 6625 on Apr 6 (net cost $15.20, executed at the -0.20 delta trigger); the rolled call was closed on Apr 9 at $298.59, crystallizing -$86.29 on the call side. The short put was retained through project end, decaying from $226.20 to $4.60 as the index set successive all-time highs. Final P&amp;L: +$135.31, ~29.8% of premium collected.</t>
  </si>
  <si>
    <t xml:space="preserve">RISK RETROSPECTIVE &amp; LESSONS</t>
  </si>
  <si>
    <t xml:space="preserve">Two governance findings. (1) Threshold discipline: portfolio delta reached -0.42 on Apr 8, more than 2x the stated +/-0.20 limit, before the closing trade was executed on Apr 9. The one-session delay - waiting to confirm the rally - added an estimated $30-40 to the buyback cost. Rule adopted: when delta exceeds 2x the policy threshold with an identifiable directional catalyst, close immediately rather than wait for confirmation. (2) Structure selection: an undefined-risk short strangle was mismatched to a binary-headline regime. A defined-risk structure (iron condor or credit put spread) would have capped call-side tail risk while preserving most of the theta capture. Execution was disciplined on the Apr 6 roll; the structural choice, not the mechanics, was the primary constraint on performance.</t>
  </si>
  <si>
    <t xml:space="preserve">STRATEGY &amp; RISK FRAMEWORK</t>
  </si>
  <si>
    <t xml:space="preserve">MARKET VIEW / OBJECTIVE</t>
  </si>
  <si>
    <t xml:space="preserve">Expected the S&amp;P 500 to remain range-bound (~6365-6615) through the May 16 expiry. Elevated implied volatility (VIX 25-30 on the Iran conflict) made option premiums rich relative to likely realized volatility; the geopolitical risk premium appeared fully priced. Objective: monetize the implied-vs-realized volatility spread and time decay (theta) on both legs via a short strangle, with no net directional bet at initiation.</t>
  </si>
  <si>
    <t xml:space="preserve">INITIAL POSITIONS  -  executed Mar 27, 2026 EOD (selected by Mar 26 per project deadline)</t>
  </si>
  <si>
    <t xml:space="preserve">Leg</t>
  </si>
  <si>
    <t xml:space="preserve">Type</t>
  </si>
  <si>
    <t xml:space="preserve">Strike</t>
  </si>
  <si>
    <t xml:space="preserve">Buy / Sell</t>
  </si>
  <si>
    <t xml:space="preserve">Qty</t>
  </si>
  <si>
    <t xml:space="preserve">Premium ($)</t>
  </si>
  <si>
    <t xml:space="preserve">IV at Entry</t>
  </si>
  <si>
    <t xml:space="preserve">Expiry</t>
  </si>
  <si>
    <t xml:space="preserve">Put</t>
  </si>
  <si>
    <t xml:space="preserve">Sell</t>
  </si>
  <si>
    <t xml:space="preserve">May 16, 2026</t>
  </si>
  <si>
    <t xml:space="preserve">Call</t>
  </si>
  <si>
    <t xml:space="preserve">POSITION ECONOMICS (AT INITIATION)</t>
  </si>
  <si>
    <t xml:space="preserve">Net premium collected ($)</t>
  </si>
  <si>
    <t xml:space="preserve">Sum of both short legs</t>
  </si>
  <si>
    <t xml:space="preserve">Lower break-even (index)</t>
  </si>
  <si>
    <t xml:space="preserve">Put strike less net premium</t>
  </si>
  <si>
    <t xml:space="preserve">Upper break-even (index)</t>
  </si>
  <si>
    <t xml:space="preserve">Call strike plus net premium</t>
  </si>
  <si>
    <t xml:space="preserve">Max profit at expiry ($)</t>
  </si>
  <si>
    <t xml:space="preserve">Full premium if 6385 &lt; S &lt; 6595 at expiry</t>
  </si>
  <si>
    <t xml:space="preserve">Max loss</t>
  </si>
  <si>
    <t xml:space="preserve">Unlimited</t>
  </si>
  <si>
    <t xml:space="preserve">Undefined-risk structure on both tails</t>
  </si>
  <si>
    <t xml:space="preserve">HEDGE POLICY (STATED EX-ANTE)</t>
  </si>
  <si>
    <t xml:space="preserve">1.  Monitor portfolio delta daily against instructor-posted EOD marks and updated implied volatilities.</t>
  </si>
  <si>
    <t xml:space="preserve">2.  If |portfolio delta| &gt; 0.20, evaluate and execute an adjustment (roll, partial close, or full close).</t>
  </si>
  <si>
    <t xml:space="preserve">3.  If spot approaches either strike within 50 points, evaluate rolling that leg further out-of-the-money.</t>
  </si>
  <si>
    <t xml:space="preserve">4.  If a strike is breached, close or roll the breached leg; do not add to losing legs.</t>
  </si>
  <si>
    <t xml:space="preserve">5.  Tighten the delta band to +/-0.10 in the final two weeks as gamma rises into expiry.</t>
  </si>
  <si>
    <t xml:space="preserve">ADJUSTMENTS EXECUTED</t>
  </si>
  <si>
    <t xml:space="preserve">Apr 6:  Rolled short call 6595 to 6625 - bought back 6595 at $189.66 (realized +$37.84), sold 6625 at $174.46; net roll cost $15.20. Trigger: spot through strike, delta approaching -0.20 band.</t>
  </si>
  <si>
    <t xml:space="preserve">Apr 9:  Closed 6625 call at $298.59 to cap directional loss after the Apr 8 ceasefire rally. Net realized call-side P&amp;L across both legs: -$86.29.</t>
  </si>
  <si>
    <t xml:space="preserve">PRIMARY RISKS &amp; MITIGANTS</t>
  </si>
  <si>
    <t xml:space="preserve">(i) Directional: a sustained move beyond either break-even (5,931.30 / 7,048.70) produces open-ended losses. (ii) Volatility: the position is short vega on both legs, so an implied-volatility spike marks the book down even absent a spot move. (iii) Gamma: negative gamma accelerates delta drift near the strikes, particularly into expiry. Mitigants: daily monitoring, pre-defined delta triggers, and willingness to roll or close breached legs.</t>
  </si>
  <si>
    <t xml:space="preserve">BLACK-SCHOLES-MERTON PRICING MODEL</t>
  </si>
  <si>
    <t xml:space="preserve">European index options with continuous dividend yield  |  Marks as of Apr 24, 2026 (project end)</t>
  </si>
  <si>
    <t xml:space="preserve">MODEL INPUTS &amp; OUTPUTS</t>
  </si>
  <si>
    <t xml:space="preserve">Position</t>
  </si>
  <si>
    <t xml:space="preserve">Spot (S)</t>
  </si>
  <si>
    <t xml:space="preserve">Strike (K)</t>
  </si>
  <si>
    <t xml:space="preserve">Impl. Vol</t>
  </si>
  <si>
    <t xml:space="preserve">T (yrs)</t>
  </si>
  <si>
    <t xml:space="preserve">Risk-free r</t>
  </si>
  <si>
    <t xml:space="preserve">Div. yield q</t>
  </si>
  <si>
    <t xml:space="preserve">Disc. Factor</t>
  </si>
  <si>
    <t xml:space="preserve">d1</t>
  </si>
  <si>
    <t xml:space="preserve">d2</t>
  </si>
  <si>
    <t xml:space="preserve">Call ($)</t>
  </si>
  <si>
    <t xml:space="preserve">Put ($)</t>
  </si>
  <si>
    <t xml:space="preserve">Call Delta</t>
  </si>
  <si>
    <t xml:space="preserve">Put Delta</t>
  </si>
  <si>
    <t xml:space="preserve">Gamma</t>
  </si>
  <si>
    <t xml:space="preserve">Vega / 1%</t>
  </si>
  <si>
    <t xml:space="preserve">Call Theta/d</t>
  </si>
  <si>
    <t xml:space="preserve">Put Theta/d</t>
  </si>
  <si>
    <t xml:space="preserve">Short Put 6385 (open)</t>
  </si>
  <si>
    <t xml:space="preserve">Short Call 6625 (closed Apr 9)</t>
  </si>
  <si>
    <t xml:space="preserve">Parity check (put leg)</t>
  </si>
  <si>
    <t xml:space="preserve">Zero confirms C - P = S*exp(-qT) - K*exp(-rT)</t>
  </si>
  <si>
    <t xml:space="preserve">MODEL NOTES</t>
  </si>
  <si>
    <t xml:space="preserve">1.  Framework: Black-Scholes-Merton for European index options with continuous dividend yield q; discounting at continuously compounded risk-free rate r.</t>
  </si>
  <si>
    <t xml:space="preserve">2.  Blue cells are inputs (spot, strike, implied vol, tenor, rates); black cells are live formulas. Change any input to re-price and re-derive Greeks.</t>
  </si>
  <si>
    <t xml:space="preserve">3.  Greeks: Delta and Gamma per 1 index point; Vega per 1 vol point (1%); Theta per calendar day. Position Greeks = model Greeks x quantity (short = -1).</t>
  </si>
  <si>
    <t xml:space="preserve">4.  Put-call parity holds by construction:  C - P = S*exp(-qT) - K*exp(-rT).  Row 9 verifies the identity.</t>
  </si>
  <si>
    <t xml:space="preserve">5.  This engine generated the daily delta and theta marks in the Daily P&amp;L Monitor throughout the project.</t>
  </si>
  <si>
    <t xml:space="preserve">TRADE BLOTTER</t>
  </si>
  <si>
    <t xml:space="preserve">All executions at instructor-posted end-of-day marks. SPX index options, May 16, 2026 expiry.</t>
  </si>
  <si>
    <t xml:space="preserve">#</t>
  </si>
  <si>
    <t xml:space="preserve">Trade Date</t>
  </si>
  <si>
    <t xml:space="preserve">Action</t>
  </si>
  <si>
    <t xml:space="preserve">Buy/Sell</t>
  </si>
  <si>
    <t xml:space="preserve">Price ($)</t>
  </si>
  <si>
    <t xml:space="preserve">S&amp;P Ref</t>
  </si>
  <si>
    <t xml:space="preserve">Realized P&amp;L ($)</t>
  </si>
  <si>
    <t xml:space="preserve">Rationale</t>
  </si>
  <si>
    <t xml:space="preserve">3/27/2026</t>
  </si>
  <si>
    <t xml:space="preserve">OPEN</t>
  </si>
  <si>
    <t xml:space="preserve">Strangle leg 1: sold 6385 put at entry IV 25.15%. Premium collected $226.20.</t>
  </si>
  <si>
    <t xml:space="preserve">Strangle leg 2: sold 6595 call at entry IV 20.79%. Both legs open; total premium $453.70.</t>
  </si>
  <si>
    <t xml:space="preserve">4/6/2026</t>
  </si>
  <si>
    <t xml:space="preserve">ROLL - CLOSE</t>
  </si>
  <si>
    <t xml:space="preserve">Buy</t>
  </si>
  <si>
    <t xml:space="preserve">Spot broke above the 6595 strike; delta approaching -0.20 band. Bought back the 6595 call; realized +$37.84 on the leg.</t>
  </si>
  <si>
    <t xml:space="preserve">ROLL - OPEN</t>
  </si>
  <si>
    <t xml:space="preserve">Rolled up 30 points: sold the 6625 call. Net roll cost $15.20; portfolio delta improved from -0.18 to -0.16 with the new strike ~13 pts OTM.</t>
  </si>
  <si>
    <t xml:space="preserve">4/9/2026</t>
  </si>
  <si>
    <t xml:space="preserve">CLOSE</t>
  </si>
  <si>
    <t xml:space="preserve">Risk-reducing close after the Apr 8 ceasefire rally left the call ~200 pts ITM (delta -0.42 vs +/-0.20 policy). Net realized call-side P&amp;L across both legs: -$86.29. Short put retained.</t>
  </si>
  <si>
    <t xml:space="preserve">REALIZED / UNREALIZED SUMMARY (AT PROJECT END, APR 24)</t>
  </si>
  <si>
    <t xml:space="preserve">Call side - realized (both legs)</t>
  </si>
  <si>
    <t xml:space="preserve">Put side - unrealized (mark $4.60)</t>
  </si>
  <si>
    <t xml:space="preserve">Total portfolio P&amp;L</t>
  </si>
  <si>
    <t xml:space="preserve">DAILY P&amp;L MONITOR</t>
  </si>
  <si>
    <t xml:space="preserve">Entry Premiums</t>
  </si>
  <si>
    <t xml:space="preserve">Mark-to-market at instructor-posted EOD prices. Put P&amp;L and totals are live formulas keyed to entry premiums (blue inputs at right).</t>
  </si>
  <si>
    <t xml:space="preserve">Put 6385</t>
  </si>
  <si>
    <t xml:space="preserve">Call 6595 (initial)</t>
  </si>
  <si>
    <t xml:space="preserve">Date</t>
  </si>
  <si>
    <t xml:space="preserve">S&amp;P Close</t>
  </si>
  <si>
    <t xml:space="preserve">DTE</t>
  </si>
  <si>
    <t xml:space="preserve">Put 6385 Mark</t>
  </si>
  <si>
    <t xml:space="preserve">Call Mark</t>
  </si>
  <si>
    <t xml:space="preserve">Put P&amp;L ($)</t>
  </si>
  <si>
    <t xml:space="preserve">Call P&amp;L ($)</t>
  </si>
  <si>
    <t xml:space="preserve">Total P&amp;L ($)</t>
  </si>
  <si>
    <t xml:space="preserve">Port. Delta</t>
  </si>
  <si>
    <t xml:space="preserve">Theta/day</t>
  </si>
  <si>
    <t xml:space="preserve">Desk Commentary</t>
  </si>
  <si>
    <t xml:space="preserve">Call 6625 (roll)</t>
  </si>
  <si>
    <t xml:space="preserve">Put Strike</t>
  </si>
  <si>
    <t xml:space="preserve">Call Strike</t>
  </si>
  <si>
    <t xml:space="preserve">Opened both legs at EOD marks. Put marginally ITM at initiation - acceptable within the range-bound thesis. Net premium $453.70 collected.</t>
  </si>
  <si>
    <t xml:space="preserve">Realized on 6595 leg</t>
  </si>
  <si>
    <t xml:space="preserve">Index -0.7%; put delta pushed portfolio to +0.24, marginally above the +/-0.20 band. Held: move occurred early in the trade with aggregate P&amp;L still positive; flagged for daily review.</t>
  </si>
  <si>
    <t xml:space="preserve">Realized call side (final)</t>
  </si>
  <si>
    <t xml:space="preserve">Index recovered modestly; weekend theta accrued to the book. No action.</t>
  </si>
  <si>
    <t xml:space="preserve">+185 pt rally on Iran peace-deal headlines. Put risk relieved; call now closer to strike but portfolio delta ~0. No action.</t>
  </si>
  <si>
    <t xml:space="preserve">Continued rally; spot within 20 pts of the 6595 call strike. Instructor vol mark lowered to 19.57% - a short-vega tailwind. Roll triggers under evaluation.</t>
  </si>
  <si>
    <t xml:space="preserve">Modest pullback; delta -0.10, inside the band. Held pending the following week's Iran deadline.</t>
  </si>
  <si>
    <t xml:space="preserve">Spot broke above 6595. Executed roll: bought back 6595 call at $189.66 (+$37.84 realized), sold 6625 call at $174.46; net cost $15.20. Delta improved to -0.16 with the new strike ~13 pts OTM.</t>
  </si>
  <si>
    <t xml:space="preserve">Late-session recovery on Pakistan-mediated ceasefire proposal; call marginally ITM, delta -0.17. Held into the Iran deadline. P&amp;L at period peak (+$154.60).</t>
  </si>
  <si>
    <t xml:space="preserve">Ceasefire announced: S&amp;P +2.5% to 6,783; oil -17%; VIX to 21. Call 158 pts ITM; portfolio delta -0.42, more than 2x past the +/-0.20 limit. No trade executed - deferred one session to confirm the move. Retrospective: policy breach; see Executive Summary.</t>
  </si>
  <si>
    <t xml:space="preserve">CLOSED</t>
  </si>
  <si>
    <t xml:space="preserve">Closed the 6625 call at $298.59 to cap directional loss; net realized call-side P&amp;L -$86.29. Short put retained; book now long theta on a single leg, +$170 unrealized on the put.</t>
  </si>
  <si>
    <t xml:space="preserve">Index flat; hot CPI print absorbed. Put decaying on schedule. No action.</t>
  </si>
  <si>
    <t xml:space="preserve">Peace talks failed and a Hormuz blockade began, yet the index rallied - headline sensitivity fading. Put ~500 pts OTM. No action; theta accrual.</t>
  </si>
  <si>
    <t xml:space="preserve">S&amp;P +1.2% toward all-time highs; oil -7%, VIX 18. Put mark $27, residual risk minimal. No action.</t>
  </si>
  <si>
    <t xml:space="preserve">Index through 7,000 to a new all-time high. Put 638 pts OTM at $20. Position in run-off; monitoring only.</t>
  </si>
  <si>
    <t xml:space="preserve">Another record close. Put $17.82, delta +0.09, theta ~$1.30/day. No action.</t>
  </si>
  <si>
    <t xml:space="preserve">Strait of Hormuz reopened to non-Iranian shipping; oil -9%, S&amp;P +1.2% to a new ATH, VIX 17. Put 741 pts OTM at $11. No action.</t>
  </si>
  <si>
    <t xml:space="preserve">Hormuz reopening reversed over the weekend; oil +5%, index modestly lower. Put remains far OTM at $10. No action.</t>
  </si>
  <si>
    <t xml:space="preserve">Risk-off session as the peace process stalled ahead of ceasefire expiry. Put 679 pts OTM; delta +0.06. No action.</t>
  </si>
  <si>
    <t xml:space="preserve">Ceasefire extended after prior close; S&amp;P +1.05% to a record. Put mark $6.79. No action.</t>
  </si>
  <si>
    <t xml:space="preserve">Profit-taking; renewed Mideast tension, oil above $100. Put unaffected at $7. Final session tomorrow.</t>
  </si>
  <si>
    <t xml:space="preserve">PROJECT END. New all-time high 7,165.08 (+0.80%). Put marked $4.60 with 22 days to expiry; VIX 18.7. Final portfolio P&amp;L +$135.31 (~29.8% of premium collected).</t>
  </si>
  <si>
    <t xml:space="preserve">Delta/theta from the Pricing Model engine at each day's marks. Amber rows = hedge executions (Apr 6 roll, Apr 9 close). Red row = delta-limit breach (Apr 8).</t>
  </si>
  <si>
    <t xml:space="preserve">PERFORMANCE</t>
  </si>
  <si>
    <t xml:space="preserve">Charts reference the Daily P&amp;L Monitor and update automatically with the marks.</t>
  </si>
  <si>
    <t xml:space="preserve">Reading: P&amp;L peaked Apr 7 (+$154.60), drew down on the Apr 8 ceasefire rally as the short call went deep ITM, then recovered on put decay after the Apr 9 close - finishing at +$135.31.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</si>
</sst>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;&quot;($&quot;#,##0.00\);\-"/>
    <numFmt numFmtId="166" formatCode="0"/>
    <numFmt numFmtId="167" formatCode="0.0%"/>
    <numFmt numFmtId="168" formatCode="#,##0.00"/>
    <numFmt numFmtId="169" formatCode="0.00%"/>
    <numFmt numFmtId="170" formatCode="#,##0"/>
    <numFmt numFmtId="171" formatCode="0.0000"/>
    <numFmt numFmtId="172" formatCode="0.000000"/>
    <numFmt numFmtId="173" formatCode="mm/dd/yyyy"/>
    <numFmt numFmtId="174" formatCode="\+0.00;\-0.00"/>
    <numFmt numFmtId="175" formatCode="0.00"/>
    <numFmt numFmtId="176" formatCode="\$#,##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sz val="13"/>
      <color rgb="FF2F549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name val="Arial"/>
      <family val="2"/>
    </font>
    <font>
      <b val="true"/>
      <sz val="9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CE4E4"/>
      </patternFill>
    </fill>
    <fill>
      <patternFill patternType="solid">
        <fgColor rgb="FF1F3864"/>
        <bgColor rgb="FF404040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1F3864"/>
      </bottom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1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21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0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21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21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0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1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21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21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0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1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21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21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0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1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21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21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Portfolio P&amp;L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P&amp;L Monitor'!I5</c:f>
              <c:strCache>
                <c:ptCount val="1"/>
                <c:pt idx="0">
                  <c:v>Total P&amp;L ($)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P&amp;L Monitor'!$B$6:$B$26</c:f>
              <c:strCache>
                <c:ptCount val="21"/>
                <c:pt idx="0">
                  <c:v>03/27/2026</c:v>
                </c:pt>
                <c:pt idx="1">
                  <c:v>03/28/2026</c:v>
                </c:pt>
                <c:pt idx="2">
                  <c:v>03/30/2026</c:v>
                </c:pt>
                <c:pt idx="3">
                  <c:v>03/31/2026</c:v>
                </c:pt>
                <c:pt idx="4">
                  <c:v>04/01/2026</c:v>
                </c:pt>
                <c:pt idx="5">
                  <c:v>04/02/2026</c:v>
                </c:pt>
                <c:pt idx="6">
                  <c:v>04/06/2026</c:v>
                </c:pt>
                <c:pt idx="7">
                  <c:v>04/07/2026</c:v>
                </c:pt>
                <c:pt idx="8">
                  <c:v>04/08/2026</c:v>
                </c:pt>
                <c:pt idx="9">
                  <c:v>04/09/2026</c:v>
                </c:pt>
                <c:pt idx="10">
                  <c:v>04/10/2026</c:v>
                </c:pt>
                <c:pt idx="11">
                  <c:v>04/13/2026</c:v>
                </c:pt>
                <c:pt idx="12">
                  <c:v>04/14/2026</c:v>
                </c:pt>
                <c:pt idx="13">
                  <c:v>04/15/2026</c:v>
                </c:pt>
                <c:pt idx="14">
                  <c:v>04/16/2026</c:v>
                </c:pt>
                <c:pt idx="15">
                  <c:v>04/17/2026</c:v>
                </c:pt>
                <c:pt idx="16">
                  <c:v>04/20/2026</c:v>
                </c:pt>
                <c:pt idx="17">
                  <c:v>04/21/2026</c:v>
                </c:pt>
                <c:pt idx="18">
                  <c:v>04/22/2026</c:v>
                </c:pt>
                <c:pt idx="19">
                  <c:v>04/23/2026</c:v>
                </c:pt>
                <c:pt idx="20">
                  <c:v>04/24/2026</c:v>
                </c:pt>
              </c:strCache>
            </c:strRef>
          </c:cat>
          <c:val>
            <c:numRef>
              <c:f>'Daily P&amp;L Monitor'!$I$6:$I$26</c:f>
              <c:numCache>
                <c:formatCode>\$#,##0.00;"($"#,##0.00\);\-</c:formatCode>
                <c:ptCount val="21"/>
                <c:pt idx="0">
                  <c:v>109.98</c:v>
                </c:pt>
                <c:pt idx="1">
                  <c:v>107.8</c:v>
                </c:pt>
                <c:pt idx="2">
                  <c:v>118.68</c:v>
                </c:pt>
                <c:pt idx="3">
                  <c:v>127.6</c:v>
                </c:pt>
                <c:pt idx="4">
                  <c:v>136.35</c:v>
                </c:pt>
                <c:pt idx="5">
                  <c:v>142.53</c:v>
                </c:pt>
                <c:pt idx="6">
                  <c:v>151.08</c:v>
                </c:pt>
                <c:pt idx="7">
                  <c:v>154.6</c:v>
                </c:pt>
                <c:pt idx="8">
                  <c:v>101.2</c:v>
                </c:pt>
                <c:pt idx="9">
                  <c:v>84.47</c:v>
                </c:pt>
                <c:pt idx="10">
                  <c:v>84.89</c:v>
                </c:pt>
                <c:pt idx="11">
                  <c:v>101.33</c:v>
                </c:pt>
                <c:pt idx="12">
                  <c:v>112.83</c:v>
                </c:pt>
                <c:pt idx="13">
                  <c:v>119.42</c:v>
                </c:pt>
                <c:pt idx="14">
                  <c:v>122.09</c:v>
                </c:pt>
                <c:pt idx="15">
                  <c:v>128.51</c:v>
                </c:pt>
                <c:pt idx="16">
                  <c:v>130.31</c:v>
                </c:pt>
                <c:pt idx="17">
                  <c:v>128.94</c:v>
                </c:pt>
                <c:pt idx="18">
                  <c:v>133.12</c:v>
                </c:pt>
                <c:pt idx="19">
                  <c:v>132.78</c:v>
                </c:pt>
                <c:pt idx="20">
                  <c:v>135.31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204990"/>
        <c:axId val="31716753"/>
      </c:lineChart>
      <c:catAx>
        <c:axId val="93204990"/>
        <c:scaling>
          <c:orientation val="minMax"/>
        </c:scaling>
        <c:delete val="0"/>
        <c:axPos val="b"/>
        <c:numFmt formatCode="mm/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16753"/>
        <c:crosses val="autoZero"/>
        <c:auto val="1"/>
        <c:lblAlgn val="ctr"/>
        <c:lblOffset val="100"/>
        <c:noMultiLvlLbl val="0"/>
      </c:catAx>
      <c:valAx>
        <c:axId val="31716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P&amp;L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049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S&amp;P 500 Close vs. Short Strikes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P&amp;L Monitor'!C5</c:f>
              <c:strCache>
                <c:ptCount val="1"/>
                <c:pt idx="0">
                  <c:v>S&amp;P Close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P&amp;L Monitor'!$B$6:$B$26</c:f>
              <c:strCache>
                <c:ptCount val="21"/>
                <c:pt idx="0">
                  <c:v>03/27/2026</c:v>
                </c:pt>
                <c:pt idx="1">
                  <c:v>03/28/2026</c:v>
                </c:pt>
                <c:pt idx="2">
                  <c:v>03/30/2026</c:v>
                </c:pt>
                <c:pt idx="3">
                  <c:v>03/31/2026</c:v>
                </c:pt>
                <c:pt idx="4">
                  <c:v>04/01/2026</c:v>
                </c:pt>
                <c:pt idx="5">
                  <c:v>04/02/2026</c:v>
                </c:pt>
                <c:pt idx="6">
                  <c:v>04/06/2026</c:v>
                </c:pt>
                <c:pt idx="7">
                  <c:v>04/07/2026</c:v>
                </c:pt>
                <c:pt idx="8">
                  <c:v>04/08/2026</c:v>
                </c:pt>
                <c:pt idx="9">
                  <c:v>04/09/2026</c:v>
                </c:pt>
                <c:pt idx="10">
                  <c:v>04/10/2026</c:v>
                </c:pt>
                <c:pt idx="11">
                  <c:v>04/13/2026</c:v>
                </c:pt>
                <c:pt idx="12">
                  <c:v>04/14/2026</c:v>
                </c:pt>
                <c:pt idx="13">
                  <c:v>04/15/2026</c:v>
                </c:pt>
                <c:pt idx="14">
                  <c:v>04/16/2026</c:v>
                </c:pt>
                <c:pt idx="15">
                  <c:v>04/17/2026</c:v>
                </c:pt>
                <c:pt idx="16">
                  <c:v>04/20/2026</c:v>
                </c:pt>
                <c:pt idx="17">
                  <c:v>04/21/2026</c:v>
                </c:pt>
                <c:pt idx="18">
                  <c:v>04/22/2026</c:v>
                </c:pt>
                <c:pt idx="19">
                  <c:v>04/23/2026</c:v>
                </c:pt>
                <c:pt idx="20">
                  <c:v>04/24/2026</c:v>
                </c:pt>
              </c:strCache>
            </c:strRef>
          </c:cat>
          <c:val>
            <c:numRef>
              <c:f>'Daily P&amp;L Monitor'!$C$6:$C$26</c:f>
              <c:numCache>
                <c:formatCode>#,##0.00</c:formatCode>
                <c:ptCount val="21"/>
                <c:pt idx="0">
                  <c:v>6368.85</c:v>
                </c:pt>
                <c:pt idx="1">
                  <c:v>6327</c:v>
                </c:pt>
                <c:pt idx="2">
                  <c:v>6343.72</c:v>
                </c:pt>
                <c:pt idx="3">
                  <c:v>6528.52</c:v>
                </c:pt>
                <c:pt idx="4">
                  <c:v>6575.32</c:v>
                </c:pt>
                <c:pt idx="5">
                  <c:v>6565</c:v>
                </c:pt>
                <c:pt idx="6">
                  <c:v>6611.83</c:v>
                </c:pt>
                <c:pt idx="7">
                  <c:v>6616.85</c:v>
                </c:pt>
                <c:pt idx="8">
                  <c:v>6782.81</c:v>
                </c:pt>
                <c:pt idx="9">
                  <c:v>6824.66</c:v>
                </c:pt>
                <c:pt idx="10">
                  <c:v>6816.89</c:v>
                </c:pt>
                <c:pt idx="11">
                  <c:v>6886.24</c:v>
                </c:pt>
                <c:pt idx="12">
                  <c:v>6967.38</c:v>
                </c:pt>
                <c:pt idx="13">
                  <c:v>7022.95</c:v>
                </c:pt>
                <c:pt idx="14">
                  <c:v>7041.28</c:v>
                </c:pt>
                <c:pt idx="15">
                  <c:v>7126.06</c:v>
                </c:pt>
                <c:pt idx="16">
                  <c:v>7109.14</c:v>
                </c:pt>
                <c:pt idx="17">
                  <c:v>7064.01</c:v>
                </c:pt>
                <c:pt idx="18">
                  <c:v>7137.9</c:v>
                </c:pt>
                <c:pt idx="19">
                  <c:v>7108.4</c:v>
                </c:pt>
                <c:pt idx="20">
                  <c:v>7165.08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'Daily P&amp;L Monitor'!Q5</c:f>
              <c:strCache>
                <c:ptCount val="1"/>
                <c:pt idx="0">
                  <c:v>Put Strike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P&amp;L Monitor'!$B$6:$B$26</c:f>
              <c:strCache>
                <c:ptCount val="21"/>
                <c:pt idx="0">
                  <c:v>03/27/2026</c:v>
                </c:pt>
                <c:pt idx="1">
                  <c:v>03/28/2026</c:v>
                </c:pt>
                <c:pt idx="2">
                  <c:v>03/30/2026</c:v>
                </c:pt>
                <c:pt idx="3">
                  <c:v>03/31/2026</c:v>
                </c:pt>
                <c:pt idx="4">
                  <c:v>04/01/2026</c:v>
                </c:pt>
                <c:pt idx="5">
                  <c:v>04/02/2026</c:v>
                </c:pt>
                <c:pt idx="6">
                  <c:v>04/06/2026</c:v>
                </c:pt>
                <c:pt idx="7">
                  <c:v>04/07/2026</c:v>
                </c:pt>
                <c:pt idx="8">
                  <c:v>04/08/2026</c:v>
                </c:pt>
                <c:pt idx="9">
                  <c:v>04/09/2026</c:v>
                </c:pt>
                <c:pt idx="10">
                  <c:v>04/10/2026</c:v>
                </c:pt>
                <c:pt idx="11">
                  <c:v>04/13/2026</c:v>
                </c:pt>
                <c:pt idx="12">
                  <c:v>04/14/2026</c:v>
                </c:pt>
                <c:pt idx="13">
                  <c:v>04/15/2026</c:v>
                </c:pt>
                <c:pt idx="14">
                  <c:v>04/16/2026</c:v>
                </c:pt>
                <c:pt idx="15">
                  <c:v>04/17/2026</c:v>
                </c:pt>
                <c:pt idx="16">
                  <c:v>04/20/2026</c:v>
                </c:pt>
                <c:pt idx="17">
                  <c:v>04/21/2026</c:v>
                </c:pt>
                <c:pt idx="18">
                  <c:v>04/22/2026</c:v>
                </c:pt>
                <c:pt idx="19">
                  <c:v>04/23/2026</c:v>
                </c:pt>
                <c:pt idx="20">
                  <c:v>04/24/2026</c:v>
                </c:pt>
              </c:strCache>
            </c:strRef>
          </c:cat>
          <c:val>
            <c:numRef>
              <c:f>'Daily P&amp;L Monitor'!$Q$6:$Q$26</c:f>
              <c:numCache>
                <c:formatCode>General</c:formatCode>
                <c:ptCount val="21"/>
                <c:pt idx="0">
                  <c:v>6385</c:v>
                </c:pt>
                <c:pt idx="1">
                  <c:v>6385</c:v>
                </c:pt>
                <c:pt idx="2">
                  <c:v>6385</c:v>
                </c:pt>
                <c:pt idx="3">
                  <c:v>6385</c:v>
                </c:pt>
                <c:pt idx="4">
                  <c:v>6385</c:v>
                </c:pt>
                <c:pt idx="5">
                  <c:v>6385</c:v>
                </c:pt>
                <c:pt idx="6">
                  <c:v>6385</c:v>
                </c:pt>
                <c:pt idx="7">
                  <c:v>6385</c:v>
                </c:pt>
                <c:pt idx="8">
                  <c:v>6385</c:v>
                </c:pt>
                <c:pt idx="9">
                  <c:v>6385</c:v>
                </c:pt>
                <c:pt idx="10">
                  <c:v>6385</c:v>
                </c:pt>
                <c:pt idx="11">
                  <c:v>6385</c:v>
                </c:pt>
                <c:pt idx="12">
                  <c:v>6385</c:v>
                </c:pt>
                <c:pt idx="13">
                  <c:v>6385</c:v>
                </c:pt>
                <c:pt idx="14">
                  <c:v>6385</c:v>
                </c:pt>
                <c:pt idx="15">
                  <c:v>6385</c:v>
                </c:pt>
                <c:pt idx="16">
                  <c:v>6385</c:v>
                </c:pt>
                <c:pt idx="17">
                  <c:v>6385</c:v>
                </c:pt>
                <c:pt idx="18">
                  <c:v>6385</c:v>
                </c:pt>
                <c:pt idx="19">
                  <c:v>6385</c:v>
                </c:pt>
                <c:pt idx="20">
                  <c:v>6385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'Daily P&amp;L Monitor'!R5</c:f>
              <c:strCache>
                <c:ptCount val="1"/>
                <c:pt idx="0">
                  <c:v>Call Strike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P&amp;L Monitor'!$B$6:$B$26</c:f>
              <c:strCache>
                <c:ptCount val="21"/>
                <c:pt idx="0">
                  <c:v>03/27/2026</c:v>
                </c:pt>
                <c:pt idx="1">
                  <c:v>03/28/2026</c:v>
                </c:pt>
                <c:pt idx="2">
                  <c:v>03/30/2026</c:v>
                </c:pt>
                <c:pt idx="3">
                  <c:v>03/31/2026</c:v>
                </c:pt>
                <c:pt idx="4">
                  <c:v>04/01/2026</c:v>
                </c:pt>
                <c:pt idx="5">
                  <c:v>04/02/2026</c:v>
                </c:pt>
                <c:pt idx="6">
                  <c:v>04/06/2026</c:v>
                </c:pt>
                <c:pt idx="7">
                  <c:v>04/07/2026</c:v>
                </c:pt>
                <c:pt idx="8">
                  <c:v>04/08/2026</c:v>
                </c:pt>
                <c:pt idx="9">
                  <c:v>04/09/2026</c:v>
                </c:pt>
                <c:pt idx="10">
                  <c:v>04/10/2026</c:v>
                </c:pt>
                <c:pt idx="11">
                  <c:v>04/13/2026</c:v>
                </c:pt>
                <c:pt idx="12">
                  <c:v>04/14/2026</c:v>
                </c:pt>
                <c:pt idx="13">
                  <c:v>04/15/2026</c:v>
                </c:pt>
                <c:pt idx="14">
                  <c:v>04/16/2026</c:v>
                </c:pt>
                <c:pt idx="15">
                  <c:v>04/17/2026</c:v>
                </c:pt>
                <c:pt idx="16">
                  <c:v>04/20/2026</c:v>
                </c:pt>
                <c:pt idx="17">
                  <c:v>04/21/2026</c:v>
                </c:pt>
                <c:pt idx="18">
                  <c:v>04/22/2026</c:v>
                </c:pt>
                <c:pt idx="19">
                  <c:v>04/23/2026</c:v>
                </c:pt>
                <c:pt idx="20">
                  <c:v>04/24/2026</c:v>
                </c:pt>
              </c:strCache>
            </c:strRef>
          </c:cat>
          <c:val>
            <c:numRef>
              <c:f>'Daily P&amp;L Monitor'!$R$6:$R$26</c:f>
              <c:numCache>
                <c:formatCode>General</c:formatCode>
                <c:ptCount val="21"/>
                <c:pt idx="0">
                  <c:v>6595</c:v>
                </c:pt>
                <c:pt idx="1">
                  <c:v>6595</c:v>
                </c:pt>
                <c:pt idx="2">
                  <c:v>6595</c:v>
                </c:pt>
                <c:pt idx="3">
                  <c:v>6595</c:v>
                </c:pt>
                <c:pt idx="4">
                  <c:v>6595</c:v>
                </c:pt>
                <c:pt idx="5">
                  <c:v>6595</c:v>
                </c:pt>
                <c:pt idx="6">
                  <c:v>6625</c:v>
                </c:pt>
                <c:pt idx="7">
                  <c:v>6625</c:v>
                </c:pt>
                <c:pt idx="8">
                  <c:v>6625</c:v>
                </c:pt>
                <c:pt idx="9">
                  <c:v>6625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471350"/>
        <c:axId val="4211577"/>
      </c:lineChart>
      <c:catAx>
        <c:axId val="74471350"/>
        <c:scaling>
          <c:orientation val="minMax"/>
        </c:scaling>
        <c:delete val="0"/>
        <c:axPos val="b"/>
        <c:numFmt formatCode="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1577"/>
        <c:crosses val="autoZero"/>
        <c:auto val="1"/>
        <c:lblAlgn val="ctr"/>
        <c:lblOffset val="100"/>
        <c:noMultiLvlLbl val="0"/>
      </c:catAx>
      <c:valAx>
        <c:axId val="4211577"/>
        <c:scaling>
          <c:orientation val="minMax"/>
          <c:max val="7300"/>
          <c:min val="62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713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160920</xdr:rowOff>
    </xdr:from>
    <xdr:to>
      <xdr:col>15</xdr:col>
      <xdr:colOff>77760</xdr:colOff>
      <xdr:row>20</xdr:row>
      <xdr:rowOff>160920</xdr:rowOff>
    </xdr:to>
    <xdr:graphicFrame>
      <xdr:nvGraphicFramePr>
        <xdr:cNvPr id="0" name="Chart 1"/>
        <xdr:cNvGraphicFramePr/>
      </xdr:nvGraphicFramePr>
      <xdr:xfrm>
        <a:off x="141120" y="761040"/>
        <a:ext cx="863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22</xdr:row>
      <xdr:rowOff>160560</xdr:rowOff>
    </xdr:from>
    <xdr:to>
      <xdr:col>15</xdr:col>
      <xdr:colOff>77760</xdr:colOff>
      <xdr:row>39</xdr:row>
      <xdr:rowOff>160920</xdr:rowOff>
    </xdr:to>
    <xdr:graphicFrame>
      <xdr:nvGraphicFramePr>
        <xdr:cNvPr id="1" name="Chart 2"/>
        <xdr:cNvGraphicFramePr/>
      </xdr:nvGraphicFramePr>
      <xdr:xfrm>
        <a:off x="141120" y="4380120"/>
        <a:ext cx="863856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5"/>
  </cols>
  <sheetData>
    <row r="2" customFormat="false" ht="1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/>
    </row>
    <row r="6" customFormat="false" ht="26.25" hidden="false" customHeight="true" outlineLevel="0" collapsed="false">
      <c r="B6" s="5" t="s">
        <v>2</v>
      </c>
    </row>
    <row r="7" customFormat="false" ht="15.75" hidden="false" customHeight="true" outlineLevel="0" collapsed="false">
      <c r="B7" s="6" t="s">
        <v>3</v>
      </c>
    </row>
    <row r="9" customFormat="false" ht="15" hidden="false" customHeight="true" outlineLevel="0" collapsed="false">
      <c r="B9" s="7" t="s">
        <v>4</v>
      </c>
    </row>
    <row r="11" customFormat="false" ht="15" hidden="false" customHeight="true" outlineLevel="0" collapsed="false">
      <c r="B11" s="8" t="s">
        <v>5</v>
      </c>
    </row>
    <row r="12" customFormat="false" ht="15" hidden="false" customHeight="true" outlineLevel="0" collapsed="false">
      <c r="B12" s="9" t="s">
        <v>6</v>
      </c>
    </row>
    <row r="13" customFormat="false" ht="15" hidden="false" customHeight="true" outlineLevel="0" collapsed="false">
      <c r="B13" s="9" t="s">
        <v>7</v>
      </c>
    </row>
    <row r="14" customFormat="false" ht="15" hidden="false" customHeight="true" outlineLevel="0" collapsed="false">
      <c r="B14" s="9" t="s">
        <v>8</v>
      </c>
    </row>
    <row r="15" customFormat="false" ht="15" hidden="false" customHeight="true" outlineLevel="0" collapsed="false">
      <c r="B15" s="9" t="s">
        <v>9</v>
      </c>
    </row>
    <row r="18" customFormat="false" ht="15" hidden="false" customHeight="true" outlineLevel="0" collapsed="false">
      <c r="B18" s="10" t="s">
        <v>10</v>
      </c>
    </row>
    <row r="20" customFormat="false" ht="15" hidden="false" customHeight="true" outlineLevel="0" collapsed="false">
      <c r="B20" s="11" t="s">
        <v>11</v>
      </c>
    </row>
    <row r="21" customFormat="false" ht="15" hidden="false" customHeight="true" outlineLevel="0" collapsed="false">
      <c r="B21" s="11" t="s">
        <v>12</v>
      </c>
    </row>
    <row r="22" customFormat="false" ht="15" hidden="false" customHeight="true" outlineLevel="0" collapsed="false">
      <c r="B22" s="11" t="s">
        <v>13</v>
      </c>
    </row>
    <row r="23" customFormat="false" ht="15" hidden="false" customHeight="true" outlineLevel="0" collapsed="false">
      <c r="B23" s="11" t="s">
        <v>14</v>
      </c>
    </row>
    <row r="24" customFormat="false" ht="15" hidden="false" customHeight="true" outlineLevel="0" collapsed="false">
      <c r="B24" s="11" t="s">
        <v>15</v>
      </c>
    </row>
    <row r="25" customFormat="false" ht="15" hidden="false" customHeight="true" outlineLevel="0" collapsed="false">
      <c r="B25" s="11" t="s">
        <v>16</v>
      </c>
    </row>
    <row r="28" customFormat="false" ht="15" hidden="false" customHeight="true" outlineLevel="0" collapsed="false">
      <c r="B28" s="1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15"/>
    <col collapsed="false" customWidth="true" hidden="false" outlineLevel="0" max="4" min="4" style="1" width="3"/>
    <col collapsed="false" customWidth="true" hidden="false" outlineLevel="0" max="5" min="5" style="1" width="36"/>
    <col collapsed="false" customWidth="true" hidden="false" outlineLevel="0" max="6" min="6" style="1" width="15"/>
    <col collapsed="false" customWidth="true" hidden="false" outlineLevel="0" max="7" min="7" style="1" width="2"/>
  </cols>
  <sheetData>
    <row r="2" customFormat="false" ht="17.25" hidden="false" customHeight="true" outlineLevel="0" collapsed="false">
      <c r="B2" s="13" t="s">
        <v>18</v>
      </c>
    </row>
    <row r="3" customFormat="false" ht="15" hidden="false" customHeight="true" outlineLevel="0" collapsed="false">
      <c r="B3" s="14" t="s">
        <v>19</v>
      </c>
    </row>
    <row r="5" customFormat="false" ht="15" hidden="false" customHeight="true" outlineLevel="0" collapsed="false">
      <c r="B5" s="10" t="s">
        <v>20</v>
      </c>
      <c r="C5" s="15"/>
      <c r="D5" s="15"/>
      <c r="E5" s="15"/>
      <c r="F5" s="15"/>
    </row>
    <row r="7" customFormat="false" ht="15" hidden="false" customHeight="true" outlineLevel="0" collapsed="false">
      <c r="B7" s="16" t="s">
        <v>21</v>
      </c>
      <c r="C7" s="17" t="n">
        <f aca="false">'Strategy &amp; Risk'!C16</f>
        <v>453.7</v>
      </c>
      <c r="E7" s="16" t="s">
        <v>22</v>
      </c>
      <c r="F7" s="18" t="n">
        <v>4</v>
      </c>
    </row>
    <row r="8" customFormat="false" ht="15" hidden="false" customHeight="true" outlineLevel="0" collapsed="false">
      <c r="B8" s="19" t="s">
        <v>23</v>
      </c>
      <c r="C8" s="20" t="n">
        <f aca="false">'Daily P&amp;L Monitor'!I26</f>
        <v>135.31</v>
      </c>
      <c r="E8" s="19" t="s">
        <v>24</v>
      </c>
      <c r="F8" s="21" t="n">
        <f aca="false">COUNT('Daily P&amp;L Monitor'!B6:B26)</f>
        <v>21</v>
      </c>
    </row>
    <row r="9" customFormat="false" ht="15" hidden="false" customHeight="true" outlineLevel="0" collapsed="false">
      <c r="B9" s="16" t="s">
        <v>25</v>
      </c>
      <c r="C9" s="22" t="n">
        <f aca="false">C8/C7</f>
        <v>0.298236720299758</v>
      </c>
      <c r="E9" s="16" t="s">
        <v>26</v>
      </c>
      <c r="F9" s="23" t="n">
        <f aca="false">'Daily P&amp;L Monitor'!C6</f>
        <v>6368.85</v>
      </c>
    </row>
    <row r="10" customFormat="false" ht="15" hidden="false" customHeight="true" outlineLevel="0" collapsed="false">
      <c r="B10" s="19" t="s">
        <v>27</v>
      </c>
      <c r="C10" s="24" t="n">
        <f aca="false">MAX('Daily P&amp;L Monitor'!I6:I26)</f>
        <v>154.6</v>
      </c>
      <c r="E10" s="19" t="s">
        <v>28</v>
      </c>
      <c r="F10" s="25" t="n">
        <f aca="false">'Daily P&amp;L Monitor'!C26</f>
        <v>7165.08</v>
      </c>
    </row>
    <row r="11" customFormat="false" ht="15" hidden="false" customHeight="true" outlineLevel="0" collapsed="false">
      <c r="B11" s="16" t="s">
        <v>29</v>
      </c>
      <c r="C11" s="26" t="n">
        <f aca="false">MIN('Daily P&amp;L Monitor'!I14:I26)</f>
        <v>84.47</v>
      </c>
      <c r="E11" s="16" t="s">
        <v>30</v>
      </c>
      <c r="F11" s="22" t="n">
        <f aca="false">F10/F9-1</f>
        <v>0.125019430509433</v>
      </c>
    </row>
    <row r="14" customFormat="false" ht="15" hidden="false" customHeight="true" outlineLevel="0" collapsed="false">
      <c r="B14" s="10" t="s">
        <v>31</v>
      </c>
      <c r="C14" s="15"/>
      <c r="D14" s="15"/>
      <c r="E14" s="15"/>
      <c r="F14" s="15"/>
    </row>
    <row r="15" customFormat="false" ht="15" hidden="false" customHeight="true" outlineLevel="0" collapsed="false">
      <c r="B15" s="27" t="s">
        <v>32</v>
      </c>
      <c r="C15" s="27"/>
      <c r="D15" s="27"/>
      <c r="E15" s="27"/>
      <c r="F15" s="27"/>
    </row>
    <row r="16" customFormat="false" ht="15" hidden="false" customHeight="true" outlineLevel="0" collapsed="false">
      <c r="B16" s="27"/>
      <c r="C16" s="27"/>
      <c r="D16" s="27"/>
      <c r="E16" s="27"/>
      <c r="F16" s="27"/>
    </row>
    <row r="17" customFormat="false" ht="15" hidden="false" customHeight="true" outlineLevel="0" collapsed="false">
      <c r="B17" s="27"/>
      <c r="C17" s="27"/>
      <c r="D17" s="27"/>
      <c r="E17" s="27"/>
      <c r="F17" s="27"/>
    </row>
    <row r="18" customFormat="false" ht="15" hidden="false" customHeight="true" outlineLevel="0" collapsed="false">
      <c r="B18" s="27"/>
      <c r="C18" s="27"/>
      <c r="D18" s="27"/>
      <c r="E18" s="27"/>
      <c r="F18" s="27"/>
    </row>
    <row r="20" customFormat="false" ht="15" hidden="false" customHeight="true" outlineLevel="0" collapsed="false">
      <c r="B20" s="10" t="s">
        <v>33</v>
      </c>
      <c r="C20" s="15"/>
      <c r="D20" s="15"/>
      <c r="E20" s="15"/>
      <c r="F20" s="15"/>
    </row>
    <row r="21" customFormat="false" ht="15" hidden="false" customHeight="true" outlineLevel="0" collapsed="false">
      <c r="B21" s="27" t="s">
        <v>34</v>
      </c>
      <c r="C21" s="27"/>
      <c r="D21" s="27"/>
      <c r="E21" s="27"/>
      <c r="F21" s="27"/>
    </row>
    <row r="22" customFormat="false" ht="15" hidden="false" customHeight="true" outlineLevel="0" collapsed="false">
      <c r="B22" s="27"/>
      <c r="C22" s="27"/>
      <c r="D22" s="27"/>
      <c r="E22" s="27"/>
      <c r="F22" s="27"/>
    </row>
    <row r="23" customFormat="false" ht="15" hidden="false" customHeight="true" outlineLevel="0" collapsed="false">
      <c r="B23" s="27"/>
      <c r="C23" s="27"/>
      <c r="D23" s="27"/>
      <c r="E23" s="27"/>
      <c r="F23" s="27"/>
    </row>
    <row r="24" customFormat="false" ht="15" hidden="false" customHeight="true" outlineLevel="0" collapsed="false">
      <c r="B24" s="27"/>
      <c r="C24" s="27"/>
      <c r="D24" s="27"/>
      <c r="E24" s="27"/>
      <c r="F24" s="27"/>
    </row>
    <row r="25" customFormat="false" ht="15" hidden="false" customHeight="true" outlineLevel="0" collapsed="false">
      <c r="B25" s="27"/>
      <c r="C25" s="27"/>
      <c r="D25" s="27"/>
      <c r="E25" s="27"/>
      <c r="F25" s="27"/>
    </row>
    <row r="27" customFormat="false" ht="15" hidden="false" customHeight="true" outlineLevel="0" collapsed="false">
      <c r="B27" s="10" t="s">
        <v>35</v>
      </c>
      <c r="C27" s="15"/>
      <c r="D27" s="15"/>
      <c r="E27" s="15"/>
      <c r="F27" s="15"/>
    </row>
    <row r="28" customFormat="false" ht="15" hidden="false" customHeight="true" outlineLevel="0" collapsed="false">
      <c r="B28" s="27" t="s">
        <v>36</v>
      </c>
      <c r="C28" s="27"/>
      <c r="D28" s="27"/>
      <c r="E28" s="27"/>
      <c r="F28" s="27"/>
    </row>
    <row r="29" customFormat="false" ht="15" hidden="false" customHeight="true" outlineLevel="0" collapsed="false">
      <c r="B29" s="27"/>
      <c r="C29" s="27"/>
      <c r="D29" s="27"/>
      <c r="E29" s="27"/>
      <c r="F29" s="27"/>
    </row>
    <row r="30" customFormat="false" ht="15" hidden="false" customHeight="true" outlineLevel="0" collapsed="false">
      <c r="B30" s="27"/>
      <c r="C30" s="27"/>
      <c r="D30" s="27"/>
      <c r="E30" s="27"/>
      <c r="F30" s="27"/>
    </row>
    <row r="31" customFormat="false" ht="15" hidden="false" customHeight="true" outlineLevel="0" collapsed="false">
      <c r="B31" s="27"/>
      <c r="C31" s="27"/>
      <c r="D31" s="27"/>
      <c r="E31" s="27"/>
      <c r="F31" s="27"/>
    </row>
    <row r="32" customFormat="false" ht="15" hidden="false" customHeight="true" outlineLevel="0" collapsed="false">
      <c r="B32" s="27"/>
      <c r="C32" s="27"/>
      <c r="D32" s="27"/>
      <c r="E32" s="27"/>
      <c r="F32" s="27"/>
    </row>
    <row r="33" customFormat="false" ht="15" hidden="false" customHeight="true" outlineLevel="0" collapsed="false">
      <c r="B33" s="27"/>
      <c r="C33" s="27"/>
      <c r="D33" s="27"/>
      <c r="E33" s="27"/>
      <c r="F33" s="27"/>
    </row>
  </sheetData>
  <mergeCells count="3">
    <mergeCell ref="B15:F18"/>
    <mergeCell ref="B21:F25"/>
    <mergeCell ref="B28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6"/>
  </cols>
  <sheetData>
    <row r="2" customFormat="false" ht="17.25" hidden="false" customHeight="true" outlineLevel="0" collapsed="false">
      <c r="B2" s="13" t="s">
        <v>37</v>
      </c>
    </row>
    <row r="4" customFormat="false" ht="15" hidden="false" customHeight="true" outlineLevel="0" collapsed="false">
      <c r="B4" s="10" t="s">
        <v>38</v>
      </c>
      <c r="C4" s="15"/>
      <c r="D4" s="15"/>
      <c r="E4" s="15"/>
      <c r="F4" s="15"/>
      <c r="G4" s="15"/>
      <c r="H4" s="15"/>
      <c r="I4" s="15"/>
    </row>
    <row r="5" customFormat="false" ht="15" hidden="false" customHeight="true" outlineLevel="0" collapsed="false">
      <c r="B5" s="27" t="s">
        <v>39</v>
      </c>
      <c r="C5" s="27"/>
      <c r="D5" s="27"/>
      <c r="E5" s="27"/>
      <c r="F5" s="27"/>
      <c r="G5" s="27"/>
      <c r="H5" s="27"/>
      <c r="I5" s="27"/>
    </row>
    <row r="6" customFormat="false" ht="15" hidden="false" customHeight="true" outlineLevel="0" collapsed="false">
      <c r="B6" s="27"/>
      <c r="C6" s="27"/>
      <c r="D6" s="27"/>
      <c r="E6" s="27"/>
      <c r="F6" s="27"/>
      <c r="G6" s="27"/>
      <c r="H6" s="27"/>
      <c r="I6" s="27"/>
    </row>
    <row r="7" customFormat="false" ht="15" hidden="false" customHeight="true" outlineLevel="0" collapsed="false">
      <c r="B7" s="27"/>
      <c r="C7" s="27"/>
      <c r="D7" s="27"/>
      <c r="E7" s="27"/>
      <c r="F7" s="27"/>
      <c r="G7" s="27"/>
      <c r="H7" s="27"/>
      <c r="I7" s="27"/>
    </row>
    <row r="8" customFormat="false" ht="15" hidden="false" customHeight="true" outlineLevel="0" collapsed="false">
      <c r="B8" s="27"/>
      <c r="C8" s="27"/>
      <c r="D8" s="27"/>
      <c r="E8" s="27"/>
      <c r="F8" s="27"/>
      <c r="G8" s="27"/>
      <c r="H8" s="27"/>
      <c r="I8" s="27"/>
    </row>
    <row r="10" customFormat="false" ht="15" hidden="false" customHeight="true" outlineLevel="0" collapsed="false">
      <c r="B10" s="10" t="s">
        <v>40</v>
      </c>
      <c r="C10" s="15"/>
      <c r="D10" s="15"/>
      <c r="E10" s="15"/>
      <c r="F10" s="15"/>
      <c r="G10" s="15"/>
      <c r="H10" s="15"/>
      <c r="I10" s="15"/>
    </row>
    <row r="11" customFormat="false" ht="15" hidden="false" customHeight="true" outlineLevel="0" collapsed="false">
      <c r="B11" s="28" t="s">
        <v>41</v>
      </c>
      <c r="C11" s="28" t="s">
        <v>42</v>
      </c>
      <c r="D11" s="28" t="s">
        <v>43</v>
      </c>
      <c r="E11" s="28" t="s">
        <v>44</v>
      </c>
      <c r="F11" s="28" t="s">
        <v>45</v>
      </c>
      <c r="G11" s="28" t="s">
        <v>46</v>
      </c>
      <c r="H11" s="28" t="s">
        <v>47</v>
      </c>
      <c r="I11" s="28" t="s">
        <v>48</v>
      </c>
    </row>
    <row r="12" customFormat="false" ht="15" hidden="false" customHeight="true" outlineLevel="0" collapsed="false">
      <c r="B12" s="29" t="n">
        <v>1</v>
      </c>
      <c r="C12" s="29" t="s">
        <v>49</v>
      </c>
      <c r="D12" s="30" t="n">
        <v>6385</v>
      </c>
      <c r="E12" s="29" t="s">
        <v>50</v>
      </c>
      <c r="F12" s="30" t="n">
        <v>-1</v>
      </c>
      <c r="G12" s="31" t="n">
        <v>226.2</v>
      </c>
      <c r="H12" s="32" t="n">
        <v>0.2515</v>
      </c>
      <c r="I12" s="29" t="s">
        <v>51</v>
      </c>
    </row>
    <row r="13" customFormat="false" ht="15" hidden="false" customHeight="true" outlineLevel="0" collapsed="false">
      <c r="B13" s="29" t="n">
        <v>2</v>
      </c>
      <c r="C13" s="29" t="s">
        <v>52</v>
      </c>
      <c r="D13" s="30" t="n">
        <v>6595</v>
      </c>
      <c r="E13" s="29" t="s">
        <v>50</v>
      </c>
      <c r="F13" s="30" t="n">
        <v>-1</v>
      </c>
      <c r="G13" s="31" t="n">
        <v>227.5</v>
      </c>
      <c r="H13" s="32" t="n">
        <v>0.2079</v>
      </c>
      <c r="I13" s="29" t="s">
        <v>51</v>
      </c>
    </row>
    <row r="15" customFormat="false" ht="15" hidden="false" customHeight="true" outlineLevel="0" collapsed="false">
      <c r="B15" s="10" t="s">
        <v>53</v>
      </c>
      <c r="C15" s="15"/>
      <c r="D15" s="15"/>
      <c r="E15" s="15"/>
      <c r="F15" s="15"/>
      <c r="G15" s="15"/>
      <c r="H15" s="15"/>
      <c r="I15" s="15"/>
    </row>
    <row r="16" customFormat="false" ht="15" hidden="false" customHeight="true" outlineLevel="0" collapsed="false">
      <c r="B16" s="19" t="s">
        <v>54</v>
      </c>
      <c r="C16" s="24" t="n">
        <f aca="false">G12+G13</f>
        <v>453.7</v>
      </c>
      <c r="D16" s="33" t="s">
        <v>55</v>
      </c>
    </row>
    <row r="17" customFormat="false" ht="15" hidden="false" customHeight="true" outlineLevel="0" collapsed="false">
      <c r="B17" s="19" t="s">
        <v>56</v>
      </c>
      <c r="C17" s="34" t="n">
        <f aca="false">D12-C16</f>
        <v>5931.3</v>
      </c>
      <c r="D17" s="33" t="s">
        <v>57</v>
      </c>
    </row>
    <row r="18" customFormat="false" ht="15" hidden="false" customHeight="true" outlineLevel="0" collapsed="false">
      <c r="B18" s="19" t="s">
        <v>58</v>
      </c>
      <c r="C18" s="34" t="n">
        <f aca="false">D13+C16</f>
        <v>7048.7</v>
      </c>
      <c r="D18" s="33" t="s">
        <v>59</v>
      </c>
    </row>
    <row r="19" customFormat="false" ht="15" hidden="false" customHeight="true" outlineLevel="0" collapsed="false">
      <c r="B19" s="19" t="s">
        <v>60</v>
      </c>
      <c r="C19" s="24" t="n">
        <f aca="false">C16</f>
        <v>453.7</v>
      </c>
      <c r="D19" s="33" t="s">
        <v>61</v>
      </c>
    </row>
    <row r="20" customFormat="false" ht="15" hidden="false" customHeight="true" outlineLevel="0" collapsed="false">
      <c r="B20" s="19" t="s">
        <v>62</v>
      </c>
      <c r="C20" s="35" t="s">
        <v>63</v>
      </c>
      <c r="D20" s="33" t="s">
        <v>64</v>
      </c>
    </row>
    <row r="23" customFormat="false" ht="15" hidden="false" customHeight="true" outlineLevel="0" collapsed="false">
      <c r="B23" s="10" t="s">
        <v>65</v>
      </c>
      <c r="C23" s="15"/>
      <c r="D23" s="15"/>
      <c r="E23" s="15"/>
      <c r="F23" s="15"/>
      <c r="G23" s="15"/>
      <c r="H23" s="15"/>
      <c r="I23" s="15"/>
    </row>
    <row r="24" customFormat="false" ht="15" hidden="false" customHeight="true" outlineLevel="0" collapsed="false">
      <c r="B24" s="9" t="s">
        <v>66</v>
      </c>
    </row>
    <row r="25" customFormat="false" ht="15" hidden="false" customHeight="true" outlineLevel="0" collapsed="false">
      <c r="B25" s="9" t="s">
        <v>67</v>
      </c>
    </row>
    <row r="26" customFormat="false" ht="15" hidden="false" customHeight="true" outlineLevel="0" collapsed="false">
      <c r="B26" s="9" t="s">
        <v>68</v>
      </c>
    </row>
    <row r="27" customFormat="false" ht="15" hidden="false" customHeight="true" outlineLevel="0" collapsed="false">
      <c r="B27" s="9" t="s">
        <v>69</v>
      </c>
    </row>
    <row r="28" customFormat="false" ht="15" hidden="false" customHeight="true" outlineLevel="0" collapsed="false">
      <c r="B28" s="9" t="s">
        <v>70</v>
      </c>
    </row>
    <row r="30" customFormat="false" ht="15" hidden="false" customHeight="true" outlineLevel="0" collapsed="false">
      <c r="B30" s="10" t="s">
        <v>71</v>
      </c>
      <c r="C30" s="15"/>
      <c r="D30" s="15"/>
      <c r="E30" s="15"/>
      <c r="F30" s="15"/>
      <c r="G30" s="15"/>
      <c r="H30" s="15"/>
      <c r="I30" s="15"/>
    </row>
    <row r="31" customFormat="false" ht="15" hidden="false" customHeight="true" outlineLevel="0" collapsed="false">
      <c r="B31" s="27" t="s">
        <v>72</v>
      </c>
      <c r="C31" s="27"/>
      <c r="D31" s="27"/>
      <c r="E31" s="27"/>
      <c r="F31" s="27"/>
      <c r="G31" s="27"/>
      <c r="H31" s="27"/>
      <c r="I31" s="27"/>
    </row>
    <row r="32" customFormat="false" ht="15" hidden="false" customHeight="true" outlineLevel="0" collapsed="false">
      <c r="B32" s="27"/>
      <c r="C32" s="27"/>
      <c r="D32" s="27"/>
      <c r="E32" s="27"/>
      <c r="F32" s="27"/>
      <c r="G32" s="27"/>
      <c r="H32" s="27"/>
      <c r="I32" s="27"/>
    </row>
    <row r="33" customFormat="false" ht="15" hidden="false" customHeight="true" outlineLevel="0" collapsed="false">
      <c r="B33" s="27" t="s">
        <v>73</v>
      </c>
      <c r="C33" s="27"/>
      <c r="D33" s="27"/>
      <c r="E33" s="27"/>
      <c r="F33" s="27"/>
      <c r="G33" s="27"/>
      <c r="H33" s="27"/>
      <c r="I33" s="27"/>
    </row>
    <row r="34" customFormat="false" ht="15" hidden="false" customHeight="true" outlineLevel="0" collapsed="false">
      <c r="B34" s="27"/>
      <c r="C34" s="27"/>
      <c r="D34" s="27"/>
      <c r="E34" s="27"/>
      <c r="F34" s="27"/>
      <c r="G34" s="27"/>
      <c r="H34" s="27"/>
      <c r="I34" s="27"/>
    </row>
    <row r="36" customFormat="false" ht="15" hidden="false" customHeight="true" outlineLevel="0" collapsed="false">
      <c r="B36" s="10" t="s">
        <v>74</v>
      </c>
      <c r="C36" s="15"/>
      <c r="D36" s="15"/>
      <c r="E36" s="15"/>
      <c r="F36" s="15"/>
      <c r="G36" s="15"/>
      <c r="H36" s="15"/>
      <c r="I36" s="15"/>
    </row>
    <row r="37" customFormat="false" ht="15" hidden="false" customHeight="true" outlineLevel="0" collapsed="false">
      <c r="B37" s="27" t="s">
        <v>75</v>
      </c>
      <c r="C37" s="27"/>
      <c r="D37" s="27"/>
      <c r="E37" s="27"/>
      <c r="F37" s="27"/>
      <c r="G37" s="27"/>
      <c r="H37" s="27"/>
      <c r="I37" s="27"/>
    </row>
    <row r="38" customFormat="false" ht="15" hidden="false" customHeight="true" outlineLevel="0" collapsed="false">
      <c r="B38" s="27"/>
      <c r="C38" s="27"/>
      <c r="D38" s="27"/>
      <c r="E38" s="27"/>
      <c r="F38" s="27"/>
      <c r="G38" s="27"/>
      <c r="H38" s="27"/>
      <c r="I38" s="27"/>
    </row>
    <row r="39" customFormat="false" ht="15" hidden="false" customHeight="true" outlineLevel="0" collapsed="false">
      <c r="B39" s="27"/>
      <c r="C39" s="27"/>
      <c r="D39" s="27"/>
      <c r="E39" s="27"/>
      <c r="F39" s="27"/>
      <c r="G39" s="27"/>
      <c r="H39" s="27"/>
      <c r="I39" s="27"/>
    </row>
    <row r="40" customFormat="false" ht="15" hidden="false" customHeight="true" outlineLevel="0" collapsed="false">
      <c r="B40" s="27"/>
      <c r="C40" s="27"/>
      <c r="D40" s="27"/>
      <c r="E40" s="27"/>
      <c r="F40" s="27"/>
      <c r="G40" s="27"/>
      <c r="H40" s="27"/>
      <c r="I40" s="27"/>
    </row>
  </sheetData>
  <mergeCells count="4">
    <mergeCell ref="B5:I8"/>
    <mergeCell ref="B31:I32"/>
    <mergeCell ref="B33:I34"/>
    <mergeCell ref="B37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19" min="3" style="1" width="11"/>
  </cols>
  <sheetData>
    <row r="2" customFormat="false" ht="17.25" hidden="false" customHeight="true" outlineLevel="0" collapsed="false">
      <c r="B2" s="13" t="s">
        <v>76</v>
      </c>
    </row>
    <row r="3" customFormat="false" ht="15" hidden="false" customHeight="true" outlineLevel="0" collapsed="false">
      <c r="B3" s="14" t="s">
        <v>77</v>
      </c>
    </row>
    <row r="5" customFormat="false" ht="15" hidden="false" customHeight="true" outlineLevel="0" collapsed="false">
      <c r="B5" s="10" t="s">
        <v>78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customFormat="false" ht="15" hidden="false" customHeight="true" outlineLevel="0" collapsed="false">
      <c r="B6" s="36" t="s">
        <v>79</v>
      </c>
      <c r="C6" s="36" t="s">
        <v>80</v>
      </c>
      <c r="D6" s="36" t="s">
        <v>81</v>
      </c>
      <c r="E6" s="36" t="s">
        <v>82</v>
      </c>
      <c r="F6" s="36" t="s">
        <v>83</v>
      </c>
      <c r="G6" s="36" t="s">
        <v>84</v>
      </c>
      <c r="H6" s="36" t="s">
        <v>85</v>
      </c>
      <c r="I6" s="36" t="s">
        <v>86</v>
      </c>
      <c r="J6" s="36" t="s">
        <v>87</v>
      </c>
      <c r="K6" s="36" t="s">
        <v>88</v>
      </c>
      <c r="L6" s="36" t="s">
        <v>89</v>
      </c>
      <c r="M6" s="36" t="s">
        <v>90</v>
      </c>
      <c r="N6" s="36" t="s">
        <v>91</v>
      </c>
      <c r="O6" s="36" t="s">
        <v>92</v>
      </c>
      <c r="P6" s="36" t="s">
        <v>93</v>
      </c>
      <c r="Q6" s="36" t="s">
        <v>94</v>
      </c>
      <c r="R6" s="36" t="s">
        <v>95</v>
      </c>
      <c r="S6" s="36" t="s">
        <v>96</v>
      </c>
    </row>
    <row r="7" customFormat="false" ht="15" hidden="false" customHeight="true" outlineLevel="0" collapsed="false">
      <c r="B7" s="37" t="s">
        <v>97</v>
      </c>
      <c r="C7" s="38" t="n">
        <v>7165.08</v>
      </c>
      <c r="D7" s="39" t="n">
        <v>6385</v>
      </c>
      <c r="E7" s="32" t="n">
        <v>0.2515</v>
      </c>
      <c r="F7" s="40" t="n">
        <v>0.0602739726027397</v>
      </c>
      <c r="G7" s="32" t="n">
        <v>0.043</v>
      </c>
      <c r="H7" s="32" t="n">
        <v>0.013</v>
      </c>
      <c r="I7" s="41" t="n">
        <f aca="false">EXP(-G7*F7)</f>
        <v>0.997411574942236</v>
      </c>
      <c r="J7" s="41" t="n">
        <f aca="false">(LN(C7/D7)+((G7-H7)-0.5*E7^2)*F7)/MAX(E7*SQRT(F7),0.0001)</f>
        <v>1.86524304328619</v>
      </c>
      <c r="K7" s="41" t="n">
        <f aca="false">J7-E7*SQRT(F7)</f>
        <v>1.80349788652421</v>
      </c>
      <c r="L7" s="42" t="n">
        <f aca="false">C7*EXP(-H7*F7)*_xlfn.NORM.S.DIST(J7,TRUE())-D7*I7*_xlfn.NORM.S.DIST(K7,TRUE())</f>
        <v>795.592134010625</v>
      </c>
      <c r="M7" s="42" t="n">
        <f aca="false">-C7*EXP(-H7*F7)*_xlfn.NORM.S.DIST(-J7,TRUE())+D7*I7*_xlfn.NORM.S.DIST(-K7,TRUE())</f>
        <v>4.59712288623558</v>
      </c>
      <c r="N7" s="41" t="n">
        <f aca="false">EXP(-H7*F7)*_xlfn.NORM.S.DIST(J7,TRUE())</f>
        <v>0.968167411508469</v>
      </c>
      <c r="O7" s="41" t="n">
        <f aca="false">-EXP(-H7*F7)*_xlfn.NORM.S.DIST(-J7,TRUE())</f>
        <v>-0.0310493337519557</v>
      </c>
      <c r="P7" s="43" t="n">
        <f aca="false">EXP(-H7*F7)*EXP(-0.5*J7^2)/(SQRT(2*PI())*C7*E7*SQRT(F7))</f>
        <v>0.000158220225024749</v>
      </c>
      <c r="Q7" s="41" t="n">
        <f aca="false">C7*EXP(-H7*F7)*SQRT(F7)*EXP(-0.5*J7^2)/SQRT(2*PI())/100</f>
        <v>1.2313227146878</v>
      </c>
      <c r="R7" s="41" t="n">
        <f aca="false">(-C7*EXP(-H7*F7)*E7*EXP(-0.5*J7^2)/(2*SQRT(2*PI()*F7))-G7*D7*I7*_xlfn.NORM.S.DIST(K7,TRUE())+H7*C7*EXP(-H7*F7)*_xlfn.NORM.S.DIST(J7,TRUE()))/365</f>
        <v>-1.18024971081262</v>
      </c>
      <c r="S7" s="41" t="n">
        <f aca="false">(-C7*EXP(-H7*F7)*E7*EXP(-0.5*J7^2)/(2*SQRT(2*PI()*F7))+G7*D7*I7*_xlfn.NORM.S.DIST(-K7,TRUE())-H7*C7*EXP(-H7*F7)*_xlfn.NORM.S.DIST(-J7,TRUE()))/365</f>
        <v>-0.684986006605586</v>
      </c>
    </row>
    <row r="8" customFormat="false" ht="15" hidden="false" customHeight="true" outlineLevel="0" collapsed="false">
      <c r="B8" s="37" t="s">
        <v>98</v>
      </c>
      <c r="C8" s="38" t="n">
        <v>7165.08</v>
      </c>
      <c r="D8" s="39" t="n">
        <v>6625</v>
      </c>
      <c r="E8" s="32" t="n">
        <v>0.1957</v>
      </c>
      <c r="F8" s="40" t="n">
        <v>0.0602739726027397</v>
      </c>
      <c r="G8" s="32" t="n">
        <v>0.043</v>
      </c>
      <c r="H8" s="32" t="n">
        <v>0.013</v>
      </c>
      <c r="I8" s="41" t="n">
        <f aca="false">EXP(-G8*F8)</f>
        <v>0.997411574942236</v>
      </c>
      <c r="J8" s="41" t="n">
        <f aca="false">(LN(C8/D8)+((G8-H8)-0.5*E8^2)*F8)/MAX(E8*SQRT(F8),0.0001)</f>
        <v>1.64473934030813</v>
      </c>
      <c r="K8" s="41" t="n">
        <f aca="false">J8-E8*SQRT(F8)</f>
        <v>1.59669350659711</v>
      </c>
      <c r="L8" s="42" t="n">
        <f aca="false">C8*EXP(-H8*F8)*_xlfn.NORM.S.DIST(J8,TRUE())-D8*I8*_xlfn.NORM.S.DIST(K8,TRUE())</f>
        <v>558.093939068798</v>
      </c>
      <c r="M8" s="42" t="n">
        <f aca="false">-C8*EXP(-H8*F8)*_xlfn.NORM.S.DIST(-J8,TRUE())+D8*I8*_xlfn.NORM.S.DIST(-K8,TRUE())</f>
        <v>6.47770593054463</v>
      </c>
      <c r="N8" s="41" t="n">
        <f aca="false">EXP(-H8*F8)*_xlfn.NORM.S.DIST(J8,TRUE())</f>
        <v>0.949244129096433</v>
      </c>
      <c r="O8" s="41" t="n">
        <f aca="false">-EXP(-H8*F8)*_xlfn.NORM.S.DIST(-J8,TRUE())</f>
        <v>-0.0499726161639919</v>
      </c>
      <c r="P8" s="43" t="n">
        <f aca="false">EXP(-H8*F8)*EXP(-0.5*J8^2)/(SQRT(2*PI())*C8*E8*SQRT(F8))</f>
        <v>0.000299414848050268</v>
      </c>
      <c r="Q8" s="41" t="n">
        <f aca="false">C8*EXP(-H8*F8)*SQRT(F8)*EXP(-0.5*J8^2)/SQRT(2*PI())/100</f>
        <v>1.81315972161531</v>
      </c>
      <c r="R8" s="41" t="n">
        <f aca="false">(-C8*EXP(-H8*F8)*E8*EXP(-0.5*J8^2)/(2*SQRT(2*PI()*F8))-G8*D8*I8*_xlfn.NORM.S.DIST(K8,TRUE())+H8*C8*EXP(-H8*F8)*_xlfn.NORM.S.DIST(J8,TRUE()))/365</f>
        <v>-1.29971595150152</v>
      </c>
      <c r="S8" s="41" t="n">
        <f aca="false">(-C8*EXP(-H8*F8)*E8*EXP(-0.5*J8^2)/(2*SQRT(2*PI()*F8))+G8*D8*I8*_xlfn.NORM.S.DIST(-K8,TRUE())-H8*C8*EXP(-H8*F8)*_xlfn.NORM.S.DIST(-J8,TRUE()))/365</f>
        <v>-0.77625145975091</v>
      </c>
    </row>
    <row r="9" customFormat="false" ht="15" hidden="false" customHeight="true" outlineLevel="0" collapsed="false">
      <c r="B9" s="44" t="s">
        <v>99</v>
      </c>
      <c r="C9" s="45" t="n">
        <f aca="false">ROUND((L7-M7)-(C7*EXP(-H7*F7)-D7*I7),6)</f>
        <v>0</v>
      </c>
      <c r="D9" s="33" t="s">
        <v>100</v>
      </c>
    </row>
    <row r="11" customFormat="false" ht="15" hidden="false" customHeight="true" outlineLevel="0" collapsed="false">
      <c r="B11" s="10" t="s">
        <v>101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customFormat="false" ht="15" hidden="false" customHeight="true" outlineLevel="0" collapsed="false">
      <c r="B12" s="11" t="s">
        <v>102</v>
      </c>
    </row>
    <row r="13" customFormat="false" ht="15" hidden="false" customHeight="true" outlineLevel="0" collapsed="false">
      <c r="B13" s="11" t="s">
        <v>103</v>
      </c>
    </row>
    <row r="14" customFormat="false" ht="15" hidden="false" customHeight="true" outlineLevel="0" collapsed="false">
      <c r="B14" s="11" t="s">
        <v>104</v>
      </c>
    </row>
    <row r="15" customFormat="false" ht="15" hidden="false" customHeight="true" outlineLevel="0" collapsed="false">
      <c r="B15" s="11" t="s">
        <v>105</v>
      </c>
    </row>
    <row r="16" customFormat="false" ht="15" hidden="false" customHeight="true" outlineLevel="0" collapsed="false">
      <c r="B16" s="11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6" min="5" style="1" width="8"/>
    <col collapsed="false" customWidth="true" hidden="false" outlineLevel="0" max="7" min="7" style="1" width="9"/>
    <col collapsed="false" customWidth="true" hidden="false" outlineLevel="0" max="8" min="8" style="1" width="6"/>
    <col collapsed="false" customWidth="true" hidden="false" outlineLevel="0" max="10" min="9" style="1" width="11"/>
    <col collapsed="false" customWidth="true" hidden="false" outlineLevel="0" max="11" min="11" style="1" width="13"/>
    <col collapsed="false" customWidth="true" hidden="false" outlineLevel="0" max="12" min="12" style="1" width="62"/>
  </cols>
  <sheetData>
    <row r="2" customFormat="false" ht="17.25" hidden="false" customHeight="true" outlineLevel="0" collapsed="false">
      <c r="B2" s="13" t="s">
        <v>107</v>
      </c>
    </row>
    <row r="3" customFormat="false" ht="15" hidden="false" customHeight="true" outlineLevel="0" collapsed="false">
      <c r="B3" s="14" t="s">
        <v>108</v>
      </c>
    </row>
    <row r="5" customFormat="false" ht="21.75" hidden="false" customHeight="true" outlineLevel="0" collapsed="false">
      <c r="B5" s="36" t="s">
        <v>109</v>
      </c>
      <c r="C5" s="36" t="s">
        <v>110</v>
      </c>
      <c r="D5" s="36" t="s">
        <v>111</v>
      </c>
      <c r="E5" s="36" t="s">
        <v>42</v>
      </c>
      <c r="F5" s="36" t="s">
        <v>43</v>
      </c>
      <c r="G5" s="36" t="s">
        <v>112</v>
      </c>
      <c r="H5" s="36" t="s">
        <v>45</v>
      </c>
      <c r="I5" s="36" t="s">
        <v>113</v>
      </c>
      <c r="J5" s="36" t="s">
        <v>114</v>
      </c>
      <c r="K5" s="36" t="s">
        <v>115</v>
      </c>
      <c r="L5" s="36" t="s">
        <v>116</v>
      </c>
    </row>
    <row r="6" customFormat="false" ht="42" hidden="false" customHeight="true" outlineLevel="0" collapsed="false">
      <c r="B6" s="46" t="n">
        <v>1</v>
      </c>
      <c r="C6" s="46" t="s">
        <v>117</v>
      </c>
      <c r="D6" s="46" t="s">
        <v>118</v>
      </c>
      <c r="E6" s="46" t="s">
        <v>49</v>
      </c>
      <c r="F6" s="47" t="n">
        <v>6385</v>
      </c>
      <c r="G6" s="46" t="s">
        <v>50</v>
      </c>
      <c r="H6" s="47" t="n">
        <v>-1</v>
      </c>
      <c r="I6" s="48" t="n">
        <v>226.2</v>
      </c>
      <c r="J6" s="49" t="n">
        <v>6368.85</v>
      </c>
      <c r="K6" s="46"/>
      <c r="L6" s="50" t="s">
        <v>119</v>
      </c>
    </row>
    <row r="7" customFormat="false" ht="42" hidden="false" customHeight="true" outlineLevel="0" collapsed="false">
      <c r="B7" s="46" t="n">
        <v>2</v>
      </c>
      <c r="C7" s="46" t="s">
        <v>117</v>
      </c>
      <c r="D7" s="46" t="s">
        <v>118</v>
      </c>
      <c r="E7" s="46" t="s">
        <v>52</v>
      </c>
      <c r="F7" s="47" t="n">
        <v>6595</v>
      </c>
      <c r="G7" s="46" t="s">
        <v>50</v>
      </c>
      <c r="H7" s="47" t="n">
        <v>-1</v>
      </c>
      <c r="I7" s="48" t="n">
        <v>227.5</v>
      </c>
      <c r="J7" s="49" t="n">
        <v>6368.85</v>
      </c>
      <c r="K7" s="46"/>
      <c r="L7" s="50" t="s">
        <v>120</v>
      </c>
    </row>
    <row r="8" customFormat="false" ht="42" hidden="false" customHeight="true" outlineLevel="0" collapsed="false">
      <c r="B8" s="46" t="n">
        <v>3</v>
      </c>
      <c r="C8" s="46" t="s">
        <v>121</v>
      </c>
      <c r="D8" s="46" t="s">
        <v>122</v>
      </c>
      <c r="E8" s="46" t="s">
        <v>52</v>
      </c>
      <c r="F8" s="47" t="n">
        <v>6595</v>
      </c>
      <c r="G8" s="46" t="s">
        <v>123</v>
      </c>
      <c r="H8" s="47" t="n">
        <v>1</v>
      </c>
      <c r="I8" s="48" t="n">
        <v>189.66</v>
      </c>
      <c r="J8" s="49" t="n">
        <v>6611.83</v>
      </c>
      <c r="K8" s="51" t="n">
        <f aca="false">I7-I8</f>
        <v>37.84</v>
      </c>
      <c r="L8" s="50" t="s">
        <v>124</v>
      </c>
    </row>
    <row r="9" customFormat="false" ht="42" hidden="false" customHeight="true" outlineLevel="0" collapsed="false">
      <c r="B9" s="46" t="n">
        <v>4</v>
      </c>
      <c r="C9" s="46" t="s">
        <v>121</v>
      </c>
      <c r="D9" s="46" t="s">
        <v>125</v>
      </c>
      <c r="E9" s="46" t="s">
        <v>52</v>
      </c>
      <c r="F9" s="47" t="n">
        <v>6625</v>
      </c>
      <c r="G9" s="46" t="s">
        <v>50</v>
      </c>
      <c r="H9" s="47" t="n">
        <v>-1</v>
      </c>
      <c r="I9" s="48" t="n">
        <v>174.46</v>
      </c>
      <c r="J9" s="49" t="n">
        <v>6611.83</v>
      </c>
      <c r="K9" s="46"/>
      <c r="L9" s="50" t="s">
        <v>126</v>
      </c>
    </row>
    <row r="10" customFormat="false" ht="42" hidden="false" customHeight="true" outlineLevel="0" collapsed="false">
      <c r="B10" s="46" t="n">
        <v>5</v>
      </c>
      <c r="C10" s="46" t="s">
        <v>127</v>
      </c>
      <c r="D10" s="46" t="s">
        <v>128</v>
      </c>
      <c r="E10" s="46" t="s">
        <v>52</v>
      </c>
      <c r="F10" s="47" t="n">
        <v>6625</v>
      </c>
      <c r="G10" s="46" t="s">
        <v>123</v>
      </c>
      <c r="H10" s="47" t="n">
        <v>1</v>
      </c>
      <c r="I10" s="48" t="n">
        <v>298.59</v>
      </c>
      <c r="J10" s="49" t="n">
        <v>6824.66</v>
      </c>
      <c r="K10" s="51" t="n">
        <f aca="false">I9-I10</f>
        <v>-124.13</v>
      </c>
      <c r="L10" s="50" t="s">
        <v>129</v>
      </c>
    </row>
    <row r="13" customFormat="false" ht="15" hidden="false" customHeight="true" outlineLevel="0" collapsed="false">
      <c r="B13" s="10" t="s">
        <v>130</v>
      </c>
      <c r="C13" s="15"/>
      <c r="D13" s="15"/>
      <c r="E13" s="15"/>
      <c r="F13" s="15"/>
      <c r="G13" s="15"/>
      <c r="H13" s="15"/>
      <c r="I13" s="15"/>
      <c r="J13" s="15"/>
      <c r="K13" s="15"/>
    </row>
    <row r="15" customFormat="false" ht="15" hidden="false" customHeight="true" outlineLevel="0" collapsed="false">
      <c r="B15" s="19" t="s">
        <v>131</v>
      </c>
      <c r="C15" s="52" t="n">
        <f aca="false">K8+K10</f>
        <v>-86.29</v>
      </c>
    </row>
    <row r="16" customFormat="false" ht="15" hidden="false" customHeight="true" outlineLevel="0" collapsed="false">
      <c r="B16" s="19" t="s">
        <v>132</v>
      </c>
      <c r="C16" s="53" t="n">
        <f aca="false">'Daily P&amp;L Monitor'!G26</f>
        <v>221.6</v>
      </c>
    </row>
    <row r="17" customFormat="false" ht="15" hidden="false" customHeight="true" outlineLevel="0" collapsed="false">
      <c r="B17" s="54" t="s">
        <v>133</v>
      </c>
      <c r="C17" s="24" t="n">
        <f aca="false">C15+C16</f>
        <v>135.31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11"/>
    <col collapsed="false" customWidth="true" hidden="false" outlineLevel="0" max="4" min="4" style="1" width="6"/>
    <col collapsed="false" customWidth="true" hidden="false" outlineLevel="0" max="9" min="5" style="1" width="10"/>
    <col collapsed="false" customWidth="true" hidden="false" outlineLevel="0" max="10" min="10" style="1" width="8"/>
    <col collapsed="false" customWidth="true" hidden="false" outlineLevel="0" max="11" min="11" style="1" width="9"/>
    <col collapsed="false" customWidth="true" hidden="false" outlineLevel="0" max="12" min="12" style="1" width="76"/>
    <col collapsed="false" customWidth="true" hidden="false" outlineLevel="0" max="16" min="14" style="1" width="12"/>
    <col collapsed="false" customWidth="true" hidden="true" outlineLevel="0" max="18" min="17" style="1" width="13"/>
  </cols>
  <sheetData>
    <row r="2" customFormat="false" ht="17.25" hidden="false" customHeight="true" outlineLevel="0" collapsed="false">
      <c r="B2" s="13" t="s">
        <v>134</v>
      </c>
      <c r="N2" s="12" t="s">
        <v>135</v>
      </c>
    </row>
    <row r="3" customFormat="false" ht="15" hidden="false" customHeight="true" outlineLevel="0" collapsed="false">
      <c r="B3" s="14" t="s">
        <v>136</v>
      </c>
      <c r="N3" s="19" t="s">
        <v>137</v>
      </c>
      <c r="O3" s="55" t="n">
        <v>226.2</v>
      </c>
    </row>
    <row r="4" customFormat="false" ht="15" hidden="false" customHeight="true" outlineLevel="0" collapsed="false">
      <c r="N4" s="19" t="s">
        <v>138</v>
      </c>
      <c r="O4" s="55" t="n">
        <v>227.5</v>
      </c>
    </row>
    <row r="5" customFormat="false" ht="21.75" hidden="false" customHeight="true" outlineLevel="0" collapsed="false">
      <c r="B5" s="36" t="s">
        <v>139</v>
      </c>
      <c r="C5" s="36" t="s">
        <v>140</v>
      </c>
      <c r="D5" s="36" t="s">
        <v>141</v>
      </c>
      <c r="E5" s="36" t="s">
        <v>142</v>
      </c>
      <c r="F5" s="36" t="s">
        <v>143</v>
      </c>
      <c r="G5" s="36" t="s">
        <v>144</v>
      </c>
      <c r="H5" s="36" t="s">
        <v>145</v>
      </c>
      <c r="I5" s="36" t="s">
        <v>146</v>
      </c>
      <c r="J5" s="36" t="s">
        <v>147</v>
      </c>
      <c r="K5" s="36" t="s">
        <v>148</v>
      </c>
      <c r="L5" s="36" t="s">
        <v>149</v>
      </c>
      <c r="N5" s="19" t="s">
        <v>150</v>
      </c>
      <c r="O5" s="55" t="n">
        <v>174.46</v>
      </c>
      <c r="Q5" s="56" t="s">
        <v>151</v>
      </c>
      <c r="R5" s="56" t="s">
        <v>152</v>
      </c>
    </row>
    <row r="6" customFormat="false" ht="39.75" hidden="false" customHeight="true" outlineLevel="0" collapsed="false">
      <c r="B6" s="57" t="n">
        <v>46108</v>
      </c>
      <c r="C6" s="58" t="n">
        <v>6368.85</v>
      </c>
      <c r="D6" s="59" t="n">
        <v>50</v>
      </c>
      <c r="E6" s="48" t="n">
        <v>229.82</v>
      </c>
      <c r="F6" s="48" t="n">
        <v>113.9</v>
      </c>
      <c r="G6" s="51" t="n">
        <f aca="false">$O$3-E6</f>
        <v>-3.62</v>
      </c>
      <c r="H6" s="51" t="n">
        <f aca="false">$O$4-F6</f>
        <v>113.6</v>
      </c>
      <c r="I6" s="60" t="n">
        <f aca="false">G6+H6</f>
        <v>109.98</v>
      </c>
      <c r="J6" s="61" t="n">
        <v>0.181</v>
      </c>
      <c r="K6" s="62" t="n">
        <v>4</v>
      </c>
      <c r="L6" s="63" t="s">
        <v>153</v>
      </c>
      <c r="N6" s="19" t="s">
        <v>154</v>
      </c>
      <c r="O6" s="55" t="n">
        <v>37.84</v>
      </c>
      <c r="Q6" s="1" t="n">
        <v>6385</v>
      </c>
      <c r="R6" s="1" t="n">
        <v>6595</v>
      </c>
    </row>
    <row r="7" customFormat="false" ht="39.75" hidden="false" customHeight="true" outlineLevel="0" collapsed="false">
      <c r="B7" s="64" t="n">
        <v>46109</v>
      </c>
      <c r="C7" s="65" t="n">
        <v>6327</v>
      </c>
      <c r="D7" s="66" t="n">
        <v>49</v>
      </c>
      <c r="E7" s="67" t="n">
        <v>248.21</v>
      </c>
      <c r="F7" s="67" t="n">
        <v>97.69</v>
      </c>
      <c r="G7" s="68" t="n">
        <f aca="false">$O$3-E7</f>
        <v>-22.01</v>
      </c>
      <c r="H7" s="68" t="n">
        <f aca="false">$O$4-F7</f>
        <v>129.81</v>
      </c>
      <c r="I7" s="69" t="n">
        <f aca="false">G7+H7</f>
        <v>107.8</v>
      </c>
      <c r="J7" s="70" t="n">
        <v>0.2418</v>
      </c>
      <c r="K7" s="71" t="n">
        <v>3.89</v>
      </c>
      <c r="L7" s="72" t="s">
        <v>155</v>
      </c>
      <c r="N7" s="19" t="s">
        <v>156</v>
      </c>
      <c r="O7" s="55" t="n">
        <v>-86.29</v>
      </c>
      <c r="Q7" s="1" t="n">
        <v>6385</v>
      </c>
      <c r="R7" s="1" t="n">
        <v>6595</v>
      </c>
    </row>
    <row r="8" customFormat="false" ht="39.75" hidden="false" customHeight="true" outlineLevel="0" collapsed="false">
      <c r="B8" s="57" t="n">
        <v>46111</v>
      </c>
      <c r="C8" s="58" t="n">
        <v>6343.72</v>
      </c>
      <c r="D8" s="59" t="n">
        <v>47</v>
      </c>
      <c r="E8" s="48" t="n">
        <v>235.73</v>
      </c>
      <c r="F8" s="48" t="n">
        <v>99.29</v>
      </c>
      <c r="G8" s="51" t="n">
        <f aca="false">$O$3-E8</f>
        <v>-9.53</v>
      </c>
      <c r="H8" s="51" t="n">
        <f aca="false">$O$4-F8</f>
        <v>128.21</v>
      </c>
      <c r="I8" s="60" t="n">
        <f aca="false">G8+H8</f>
        <v>118.68</v>
      </c>
      <c r="J8" s="61" t="n">
        <v>0.2228</v>
      </c>
      <c r="K8" s="62" t="n">
        <v>4.03</v>
      </c>
      <c r="L8" s="63" t="s">
        <v>157</v>
      </c>
      <c r="Q8" s="1" t="n">
        <v>6385</v>
      </c>
      <c r="R8" s="1" t="n">
        <v>6595</v>
      </c>
    </row>
    <row r="9" customFormat="false" ht="39.75" hidden="false" customHeight="true" outlineLevel="0" collapsed="false">
      <c r="B9" s="64" t="n">
        <v>46112</v>
      </c>
      <c r="C9" s="65" t="n">
        <v>6528.52</v>
      </c>
      <c r="D9" s="66" t="n">
        <v>46</v>
      </c>
      <c r="E9" s="67" t="n">
        <v>154.19</v>
      </c>
      <c r="F9" s="67" t="n">
        <v>171.91</v>
      </c>
      <c r="G9" s="68" t="n">
        <f aca="false">$O$3-E9</f>
        <v>72.01</v>
      </c>
      <c r="H9" s="68" t="n">
        <f aca="false">$O$4-F9</f>
        <v>55.59</v>
      </c>
      <c r="I9" s="69" t="n">
        <f aca="false">G9+H9</f>
        <v>127.6</v>
      </c>
      <c r="J9" s="70" t="n">
        <v>-0.0484</v>
      </c>
      <c r="K9" s="71" t="n">
        <v>4.51</v>
      </c>
      <c r="L9" s="72" t="s">
        <v>158</v>
      </c>
      <c r="Q9" s="1" t="n">
        <v>6385</v>
      </c>
      <c r="R9" s="1" t="n">
        <v>6595</v>
      </c>
    </row>
    <row r="10" customFormat="false" ht="39.75" hidden="false" customHeight="true" outlineLevel="0" collapsed="false">
      <c r="B10" s="57" t="n">
        <v>46113</v>
      </c>
      <c r="C10" s="58" t="n">
        <v>6575.32</v>
      </c>
      <c r="D10" s="59" t="n">
        <v>45</v>
      </c>
      <c r="E10" s="48" t="n">
        <v>135.57</v>
      </c>
      <c r="F10" s="48" t="n">
        <v>181.78</v>
      </c>
      <c r="G10" s="51" t="n">
        <f aca="false">$O$3-E10</f>
        <v>90.63</v>
      </c>
      <c r="H10" s="51" t="n">
        <f aca="false">$O$4-F10</f>
        <v>45.72</v>
      </c>
      <c r="I10" s="60" t="n">
        <f aca="false">G10+H10</f>
        <v>136.35</v>
      </c>
      <c r="J10" s="61" t="n">
        <v>-0.1197</v>
      </c>
      <c r="K10" s="62" t="n">
        <v>4.46</v>
      </c>
      <c r="L10" s="63" t="s">
        <v>159</v>
      </c>
      <c r="Q10" s="1" t="n">
        <v>6385</v>
      </c>
      <c r="R10" s="1" t="n">
        <v>6595</v>
      </c>
    </row>
    <row r="11" customFormat="false" ht="39.75" hidden="false" customHeight="true" outlineLevel="0" collapsed="false">
      <c r="B11" s="64" t="n">
        <v>46114</v>
      </c>
      <c r="C11" s="65" t="n">
        <v>6565</v>
      </c>
      <c r="D11" s="66" t="n">
        <v>44</v>
      </c>
      <c r="E11" s="67" t="n">
        <v>136.93</v>
      </c>
      <c r="F11" s="67" t="n">
        <v>174.24</v>
      </c>
      <c r="G11" s="68" t="n">
        <f aca="false">$O$3-E11</f>
        <v>89.27</v>
      </c>
      <c r="H11" s="68" t="n">
        <f aca="false">$O$4-F11</f>
        <v>53.26</v>
      </c>
      <c r="I11" s="69" t="n">
        <f aca="false">G11+H11</f>
        <v>142.53</v>
      </c>
      <c r="J11" s="70" t="n">
        <v>-0.1048</v>
      </c>
      <c r="K11" s="71" t="n">
        <v>4.5</v>
      </c>
      <c r="L11" s="72" t="s">
        <v>160</v>
      </c>
      <c r="Q11" s="1" t="n">
        <v>6385</v>
      </c>
      <c r="R11" s="1" t="n">
        <v>6595</v>
      </c>
    </row>
    <row r="12" customFormat="false" ht="39.75" hidden="false" customHeight="true" outlineLevel="0" collapsed="false">
      <c r="B12" s="73" t="n">
        <v>46118</v>
      </c>
      <c r="C12" s="74" t="n">
        <v>6611.83</v>
      </c>
      <c r="D12" s="75" t="n">
        <v>40</v>
      </c>
      <c r="E12" s="76" t="n">
        <v>112.96</v>
      </c>
      <c r="F12" s="76" t="n">
        <v>174.46</v>
      </c>
      <c r="G12" s="77" t="n">
        <f aca="false">$O$3-E12</f>
        <v>113.24</v>
      </c>
      <c r="H12" s="77" t="n">
        <f aca="false">$O$6+($O$5-F12)</f>
        <v>37.84</v>
      </c>
      <c r="I12" s="78" t="n">
        <f aca="false">G12+H12</f>
        <v>151.08</v>
      </c>
      <c r="J12" s="79" t="n">
        <v>-0.1566</v>
      </c>
      <c r="K12" s="80" t="n">
        <v>4.7</v>
      </c>
      <c r="L12" s="81" t="s">
        <v>161</v>
      </c>
      <c r="Q12" s="1" t="n">
        <v>6385</v>
      </c>
      <c r="R12" s="1" t="n">
        <v>6625</v>
      </c>
    </row>
    <row r="13" customFormat="false" ht="39.75" hidden="false" customHeight="true" outlineLevel="0" collapsed="false">
      <c r="B13" s="64" t="n">
        <v>46119</v>
      </c>
      <c r="C13" s="65" t="n">
        <v>6616.85</v>
      </c>
      <c r="D13" s="66" t="n">
        <v>39</v>
      </c>
      <c r="E13" s="67" t="n">
        <v>109.21</v>
      </c>
      <c r="F13" s="67" t="n">
        <v>174.69</v>
      </c>
      <c r="G13" s="68" t="n">
        <f aca="false">$O$3-E13</f>
        <v>116.99</v>
      </c>
      <c r="H13" s="68" t="n">
        <f aca="false">$O$6+($O$5-F13)</f>
        <v>37.61</v>
      </c>
      <c r="I13" s="69" t="n">
        <f aca="false">G13+H13</f>
        <v>154.6</v>
      </c>
      <c r="J13" s="70" t="n">
        <v>-0.1664</v>
      </c>
      <c r="K13" s="71" t="n">
        <v>4.75</v>
      </c>
      <c r="L13" s="72" t="s">
        <v>162</v>
      </c>
      <c r="Q13" s="1" t="n">
        <v>6385</v>
      </c>
      <c r="R13" s="1" t="n">
        <v>6625</v>
      </c>
    </row>
    <row r="14" customFormat="false" ht="39.75" hidden="false" customHeight="true" outlineLevel="0" collapsed="false">
      <c r="B14" s="82" t="n">
        <v>46120</v>
      </c>
      <c r="C14" s="83" t="n">
        <v>6782.81</v>
      </c>
      <c r="D14" s="84" t="n">
        <v>38</v>
      </c>
      <c r="E14" s="85" t="n">
        <v>65.35</v>
      </c>
      <c r="F14" s="85" t="n">
        <v>271.95</v>
      </c>
      <c r="G14" s="86" t="n">
        <f aca="false">$O$3-E14</f>
        <v>160.85</v>
      </c>
      <c r="H14" s="86" t="n">
        <f aca="false">$O$6+($O$5-F14)</f>
        <v>-59.65</v>
      </c>
      <c r="I14" s="87" t="n">
        <f aca="false">G14+H14</f>
        <v>101.2</v>
      </c>
      <c r="J14" s="88" t="n">
        <v>-0.4226</v>
      </c>
      <c r="K14" s="89" t="n">
        <v>4.47</v>
      </c>
      <c r="L14" s="90" t="s">
        <v>163</v>
      </c>
      <c r="Q14" s="1" t="n">
        <v>6385</v>
      </c>
      <c r="R14" s="1" t="n">
        <v>6625</v>
      </c>
    </row>
    <row r="15" customFormat="false" ht="39.75" hidden="false" customHeight="true" outlineLevel="0" collapsed="false">
      <c r="B15" s="73" t="n">
        <v>46121</v>
      </c>
      <c r="C15" s="74" t="n">
        <v>6824.66</v>
      </c>
      <c r="D15" s="75" t="n">
        <v>37</v>
      </c>
      <c r="E15" s="76" t="n">
        <v>55.44</v>
      </c>
      <c r="F15" s="91" t="s">
        <v>164</v>
      </c>
      <c r="G15" s="77" t="n">
        <f aca="false">$O$3-E15</f>
        <v>170.76</v>
      </c>
      <c r="H15" s="77" t="n">
        <f aca="false">$O$7</f>
        <v>-86.29</v>
      </c>
      <c r="I15" s="78" t="n">
        <f aca="false">G15+H15</f>
        <v>84.47</v>
      </c>
      <c r="J15" s="79" t="n">
        <v>0.2031</v>
      </c>
      <c r="K15" s="80" t="n">
        <v>1.97</v>
      </c>
      <c r="L15" s="81" t="s">
        <v>165</v>
      </c>
      <c r="Q15" s="1" t="n">
        <v>6385</v>
      </c>
      <c r="R15" s="1" t="n">
        <v>6625</v>
      </c>
    </row>
    <row r="16" customFormat="false" ht="39.75" hidden="false" customHeight="true" outlineLevel="0" collapsed="false">
      <c r="B16" s="57" t="n">
        <v>46122</v>
      </c>
      <c r="C16" s="58" t="n">
        <v>6816.89</v>
      </c>
      <c r="D16" s="59" t="n">
        <v>36</v>
      </c>
      <c r="E16" s="48" t="n">
        <v>55.02</v>
      </c>
      <c r="F16" s="92" t="s">
        <v>164</v>
      </c>
      <c r="G16" s="51" t="n">
        <f aca="false">$O$3-E16</f>
        <v>171.18</v>
      </c>
      <c r="H16" s="51" t="n">
        <f aca="false">$O$7</f>
        <v>-86.29</v>
      </c>
      <c r="I16" s="60" t="n">
        <f aca="false">G16+H16</f>
        <v>84.89</v>
      </c>
      <c r="J16" s="61" t="n">
        <v>0.204</v>
      </c>
      <c r="K16" s="62" t="n">
        <v>2</v>
      </c>
      <c r="L16" s="63" t="s">
        <v>166</v>
      </c>
      <c r="Q16" s="1" t="n">
        <v>6385</v>
      </c>
    </row>
    <row r="17" customFormat="false" ht="39.75" hidden="false" customHeight="true" outlineLevel="0" collapsed="false">
      <c r="B17" s="64" t="n">
        <v>46125</v>
      </c>
      <c r="C17" s="65" t="n">
        <v>6886.24</v>
      </c>
      <c r="D17" s="66" t="n">
        <v>33</v>
      </c>
      <c r="E17" s="67" t="n">
        <v>38.58</v>
      </c>
      <c r="F17" s="93" t="s">
        <v>164</v>
      </c>
      <c r="G17" s="68" t="n">
        <f aca="false">$O$3-E17</f>
        <v>187.62</v>
      </c>
      <c r="H17" s="68" t="n">
        <f aca="false">$O$7</f>
        <v>-86.29</v>
      </c>
      <c r="I17" s="69" t="n">
        <f aca="false">G17+H17</f>
        <v>101.33</v>
      </c>
      <c r="J17" s="70" t="n">
        <v>0.1591</v>
      </c>
      <c r="K17" s="71" t="n">
        <v>1.82</v>
      </c>
      <c r="L17" s="72" t="s">
        <v>167</v>
      </c>
      <c r="Q17" s="1" t="n">
        <v>6385</v>
      </c>
    </row>
    <row r="18" customFormat="false" ht="39.75" hidden="false" customHeight="true" outlineLevel="0" collapsed="false">
      <c r="B18" s="57" t="n">
        <v>46126</v>
      </c>
      <c r="C18" s="58" t="n">
        <v>6967.38</v>
      </c>
      <c r="D18" s="59" t="n">
        <v>32</v>
      </c>
      <c r="E18" s="48" t="n">
        <v>27.08</v>
      </c>
      <c r="F18" s="92" t="s">
        <v>164</v>
      </c>
      <c r="G18" s="51" t="n">
        <f aca="false">$O$3-E18</f>
        <v>199.12</v>
      </c>
      <c r="H18" s="51" t="n">
        <f aca="false">$O$7</f>
        <v>-86.29</v>
      </c>
      <c r="I18" s="60" t="n">
        <f aca="false">G18+H18</f>
        <v>112.83</v>
      </c>
      <c r="J18" s="61" t="n">
        <v>0.1208</v>
      </c>
      <c r="K18" s="62" t="n">
        <v>1.56</v>
      </c>
      <c r="L18" s="63" t="s">
        <v>168</v>
      </c>
      <c r="Q18" s="1" t="n">
        <v>6385</v>
      </c>
    </row>
    <row r="19" customFormat="false" ht="39.75" hidden="false" customHeight="true" outlineLevel="0" collapsed="false">
      <c r="B19" s="64" t="n">
        <v>46127</v>
      </c>
      <c r="C19" s="65" t="n">
        <v>7022.95</v>
      </c>
      <c r="D19" s="66" t="n">
        <v>31</v>
      </c>
      <c r="E19" s="67" t="n">
        <v>20.49</v>
      </c>
      <c r="F19" s="93" t="s">
        <v>164</v>
      </c>
      <c r="G19" s="68" t="n">
        <f aca="false">$O$3-E19</f>
        <v>205.71</v>
      </c>
      <c r="H19" s="68" t="n">
        <f aca="false">$O$7</f>
        <v>-86.29</v>
      </c>
      <c r="I19" s="69" t="n">
        <f aca="false">G19+H19</f>
        <v>119.42</v>
      </c>
      <c r="J19" s="70" t="n">
        <v>0.0971</v>
      </c>
      <c r="K19" s="71" t="n">
        <v>1.37</v>
      </c>
      <c r="L19" s="72" t="s">
        <v>169</v>
      </c>
      <c r="Q19" s="1" t="n">
        <v>6385</v>
      </c>
    </row>
    <row r="20" customFormat="false" ht="39.75" hidden="false" customHeight="true" outlineLevel="0" collapsed="false">
      <c r="B20" s="57" t="n">
        <v>46128</v>
      </c>
      <c r="C20" s="58" t="n">
        <v>7041.28</v>
      </c>
      <c r="D20" s="59" t="n">
        <v>30</v>
      </c>
      <c r="E20" s="48" t="n">
        <v>17.82</v>
      </c>
      <c r="F20" s="92" t="s">
        <v>164</v>
      </c>
      <c r="G20" s="51" t="n">
        <f aca="false">$O$3-E20</f>
        <v>208.38</v>
      </c>
      <c r="H20" s="51" t="n">
        <f aca="false">$O$7</f>
        <v>-86.29</v>
      </c>
      <c r="I20" s="60" t="n">
        <f aca="false">G20+H20</f>
        <v>122.09</v>
      </c>
      <c r="J20" s="61" t="n">
        <v>0.0876</v>
      </c>
      <c r="K20" s="62" t="n">
        <v>1.29</v>
      </c>
      <c r="L20" s="63" t="s">
        <v>170</v>
      </c>
      <c r="Q20" s="1" t="n">
        <v>6385</v>
      </c>
    </row>
    <row r="21" customFormat="false" ht="39.75" hidden="false" customHeight="true" outlineLevel="0" collapsed="false">
      <c r="B21" s="64" t="n">
        <v>46129</v>
      </c>
      <c r="C21" s="65" t="n">
        <v>7126.06</v>
      </c>
      <c r="D21" s="66" t="n">
        <v>29</v>
      </c>
      <c r="E21" s="67" t="n">
        <v>11.4</v>
      </c>
      <c r="F21" s="93" t="s">
        <v>164</v>
      </c>
      <c r="G21" s="68" t="n">
        <f aca="false">$O$3-E21</f>
        <v>214.8</v>
      </c>
      <c r="H21" s="68" t="n">
        <f aca="false">$O$7</f>
        <v>-86.29</v>
      </c>
      <c r="I21" s="69" t="n">
        <f aca="false">G21+H21</f>
        <v>128.51</v>
      </c>
      <c r="J21" s="70" t="n">
        <v>0.0609</v>
      </c>
      <c r="K21" s="71" t="n">
        <v>1.01</v>
      </c>
      <c r="L21" s="72" t="s">
        <v>171</v>
      </c>
      <c r="Q21" s="1" t="n">
        <v>6385</v>
      </c>
    </row>
    <row r="22" customFormat="false" ht="39.75" hidden="false" customHeight="true" outlineLevel="0" collapsed="false">
      <c r="B22" s="57" t="n">
        <v>46132</v>
      </c>
      <c r="C22" s="58" t="n">
        <v>7109.14</v>
      </c>
      <c r="D22" s="59" t="n">
        <v>26</v>
      </c>
      <c r="E22" s="48" t="n">
        <v>9.6</v>
      </c>
      <c r="F22" s="92" t="s">
        <v>164</v>
      </c>
      <c r="G22" s="51" t="n">
        <f aca="false">$O$3-E22</f>
        <v>216.6</v>
      </c>
      <c r="H22" s="51" t="n">
        <f aca="false">$O$7</f>
        <v>-86.29</v>
      </c>
      <c r="I22" s="60" t="n">
        <f aca="false">G22+H22</f>
        <v>130.31</v>
      </c>
      <c r="J22" s="61" t="n">
        <v>0.0549</v>
      </c>
      <c r="K22" s="62" t="n">
        <v>0.99</v>
      </c>
      <c r="L22" s="63" t="s">
        <v>172</v>
      </c>
      <c r="Q22" s="1" t="n">
        <v>6385</v>
      </c>
    </row>
    <row r="23" customFormat="false" ht="39.75" hidden="false" customHeight="true" outlineLevel="0" collapsed="false">
      <c r="B23" s="64" t="n">
        <v>46133</v>
      </c>
      <c r="C23" s="65" t="n">
        <v>7064.01</v>
      </c>
      <c r="D23" s="66" t="n">
        <v>25</v>
      </c>
      <c r="E23" s="67" t="n">
        <v>10.97</v>
      </c>
      <c r="F23" s="93" t="s">
        <v>164</v>
      </c>
      <c r="G23" s="68" t="n">
        <f aca="false">$O$3-E23</f>
        <v>215.23</v>
      </c>
      <c r="H23" s="68" t="n">
        <f aca="false">$O$7</f>
        <v>-86.29</v>
      </c>
      <c r="I23" s="69" t="n">
        <f aca="false">G23+H23</f>
        <v>128.94</v>
      </c>
      <c r="J23" s="70" t="n">
        <v>0.0625</v>
      </c>
      <c r="K23" s="71" t="n">
        <v>1.11</v>
      </c>
      <c r="L23" s="72" t="s">
        <v>173</v>
      </c>
      <c r="Q23" s="1" t="n">
        <v>6385</v>
      </c>
    </row>
    <row r="24" customFormat="false" ht="39.75" hidden="false" customHeight="true" outlineLevel="0" collapsed="false">
      <c r="B24" s="57" t="n">
        <v>46134</v>
      </c>
      <c r="C24" s="58" t="n">
        <v>7137.9</v>
      </c>
      <c r="D24" s="59" t="n">
        <v>24</v>
      </c>
      <c r="E24" s="48" t="n">
        <v>6.79</v>
      </c>
      <c r="F24" s="92" t="s">
        <v>164</v>
      </c>
      <c r="G24" s="51" t="n">
        <f aca="false">$O$3-E24</f>
        <v>219.41</v>
      </c>
      <c r="H24" s="51" t="n">
        <f aca="false">$O$7</f>
        <v>-86.29</v>
      </c>
      <c r="I24" s="60" t="n">
        <f aca="false">G24+H24</f>
        <v>133.12</v>
      </c>
      <c r="J24" s="61" t="n">
        <v>0.0421</v>
      </c>
      <c r="K24" s="62" t="n">
        <v>0.84</v>
      </c>
      <c r="L24" s="63" t="s">
        <v>174</v>
      </c>
      <c r="Q24" s="1" t="n">
        <v>6385</v>
      </c>
    </row>
    <row r="25" customFormat="false" ht="39.75" hidden="false" customHeight="true" outlineLevel="0" collapsed="false">
      <c r="B25" s="64" t="n">
        <v>46135</v>
      </c>
      <c r="C25" s="65" t="n">
        <v>7108.4</v>
      </c>
      <c r="D25" s="66" t="n">
        <v>23</v>
      </c>
      <c r="E25" s="67" t="n">
        <v>7.13</v>
      </c>
      <c r="F25" s="93" t="s">
        <v>164</v>
      </c>
      <c r="G25" s="68" t="n">
        <f aca="false">$O$3-E25</f>
        <v>219.07</v>
      </c>
      <c r="H25" s="68" t="n">
        <f aca="false">$O$7</f>
        <v>-86.29</v>
      </c>
      <c r="I25" s="69" t="n">
        <f aca="false">G25+H25</f>
        <v>132.78</v>
      </c>
      <c r="J25" s="70" t="n">
        <v>0.0447</v>
      </c>
      <c r="K25" s="71" t="n">
        <v>0.89</v>
      </c>
      <c r="L25" s="72" t="s">
        <v>175</v>
      </c>
      <c r="Q25" s="1" t="n">
        <v>6385</v>
      </c>
    </row>
    <row r="26" customFormat="false" ht="39.75" hidden="false" customHeight="true" outlineLevel="0" collapsed="false">
      <c r="B26" s="57" t="n">
        <v>46136</v>
      </c>
      <c r="C26" s="58" t="n">
        <v>7165.08</v>
      </c>
      <c r="D26" s="59" t="n">
        <v>22</v>
      </c>
      <c r="E26" s="48" t="n">
        <v>4.6</v>
      </c>
      <c r="F26" s="92" t="s">
        <v>164</v>
      </c>
      <c r="G26" s="51" t="n">
        <f aca="false">$O$3-E26</f>
        <v>221.6</v>
      </c>
      <c r="H26" s="51" t="n">
        <f aca="false">$O$7</f>
        <v>-86.29</v>
      </c>
      <c r="I26" s="60" t="n">
        <f aca="false">G26+H26</f>
        <v>135.31</v>
      </c>
      <c r="J26" s="61" t="n">
        <v>0.031</v>
      </c>
      <c r="K26" s="62" t="n">
        <v>0.68</v>
      </c>
      <c r="L26" s="63" t="s">
        <v>176</v>
      </c>
      <c r="Q26" s="1" t="n">
        <v>6385</v>
      </c>
    </row>
    <row r="28" customFormat="false" ht="15" hidden="false" customHeight="true" outlineLevel="0" collapsed="false">
      <c r="B28" s="33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</cols>
  <sheetData>
    <row r="2" customFormat="false" ht="17.25" hidden="false" customHeight="true" outlineLevel="0" collapsed="false">
      <c r="B2" s="13" t="s">
        <v>178</v>
      </c>
    </row>
    <row r="3" customFormat="false" ht="15" hidden="false" customHeight="true" outlineLevel="0" collapsed="false">
      <c r="B3" s="14" t="s">
        <v>179</v>
      </c>
    </row>
    <row r="43" customFormat="false" ht="15" hidden="false" customHeight="true" outlineLevel="0" collapsed="false">
      <c r="B43" s="33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2026-07-05T16:19:46Z</dcterms:created>
  <dc:creator>openpyxl</dc:creator>
  <dc:description/>
  <dc:language>en-US</dc:language>
  <cp:lastModifiedBy/>
  <dcterms:modified xsi:type="dcterms:W3CDTF">2026-07-05T16:23:35Z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