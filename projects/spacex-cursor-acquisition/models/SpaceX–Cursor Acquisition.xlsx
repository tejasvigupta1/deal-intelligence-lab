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https://d.docs.live.net/42fd708c4643e6a7/Personal Projects/Investment banking/SpaceX acuisition of Cursor/"/>
    </mc:Choice>
  </mc:AlternateContent>
  <xr:revisionPtr revIDLastSave="4739" documentId="8_{3E5BF29B-F056-8F44-9C84-D54339E3546D}" xr6:coauthVersionLast="47" xr6:coauthVersionMax="47" xr10:uidLastSave="{4C3BCF86-6CE7-744B-A78D-285530DC492D}"/>
  <bookViews>
    <workbookView xWindow="0" yWindow="600" windowWidth="25600" windowHeight="14320" activeTab="4" xr2:uid="{21F21DCD-83B6-7D4C-BB36-5D551F6D5A99}"/>
  </bookViews>
  <sheets>
    <sheet name="Cover" sheetId="1" r:id="rId1"/>
    <sheet name="Deal Fact Sheet " sheetId="8" r:id="rId2"/>
    <sheet name="Cursor Valuation " sheetId="2" r:id="rId3"/>
    <sheet name="Comps " sheetId="3" r:id="rId4"/>
    <sheet name="Structure Teardown" sheetId="4" r:id="rId5"/>
    <sheet name="Dilution Market" sheetId="5" r:id="rId6"/>
    <sheet name="Startegies Synergies" sheetId="6" r:id="rId7"/>
    <sheet name="Regulatory Risk" sheetId="7" r:id="rId8"/>
    <sheet name="PB_CACHE_JS" sheetId="9" state="veryHidden" r:id="rId9"/>
    <sheet name="CACHE_CHARTS_JS" sheetId="10" state="veryHidden" r:id="rId10"/>
  </sheets>
  <definedNames>
    <definedName name="_xlnm.Print_Area" localSheetId="0">Cover!$A$1:$J$32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43" i="7" l="1"/>
  <c r="C42" i="7"/>
  <c r="C41" i="7"/>
  <c r="C39" i="7"/>
  <c r="C38" i="7"/>
  <c r="H50" i="7"/>
  <c r="H49" i="7"/>
  <c r="H48" i="7"/>
  <c r="H47" i="7"/>
  <c r="H46" i="7"/>
  <c r="C40" i="7"/>
  <c r="C35" i="7"/>
  <c r="H35" i="7" s="1"/>
  <c r="B26" i="6"/>
  <c r="E26" i="6" s="1"/>
  <c r="H26" i="6" s="1"/>
  <c r="G73" i="6"/>
  <c r="G74" i="6"/>
  <c r="G75" i="6"/>
  <c r="G76" i="6"/>
  <c r="G77" i="6"/>
  <c r="G78" i="6"/>
  <c r="G79" i="6"/>
  <c r="F68" i="6"/>
  <c r="E68" i="6"/>
  <c r="D68" i="6"/>
  <c r="C68" i="6"/>
  <c r="B68" i="6"/>
  <c r="G66" i="6"/>
  <c r="E48" i="6"/>
  <c r="I48" i="6" s="1"/>
  <c r="E47" i="6"/>
  <c r="I47" i="6" s="1"/>
  <c r="E46" i="6"/>
  <c r="I46" i="6" s="1"/>
  <c r="E45" i="6"/>
  <c r="I45" i="6" s="1"/>
  <c r="E44" i="6"/>
  <c r="I44" i="6" s="1"/>
  <c r="E28" i="6"/>
  <c r="H28" i="6" s="1"/>
  <c r="E27" i="6"/>
  <c r="H27" i="6" s="1"/>
  <c r="E25" i="6"/>
  <c r="H25" i="6" s="1"/>
  <c r="B17" i="5" a="1"/>
  <c r="B17" i="5" s="1"/>
  <c r="B33" i="5" a="1"/>
  <c r="B33" i="5" s="1"/>
  <c r="B34" i="5" a="1"/>
  <c r="B34" i="5" s="1"/>
  <c r="B35" i="5" a="1"/>
  <c r="B35" i="5" s="1"/>
  <c r="B36" i="5" a="1"/>
  <c r="B36" i="5" s="1"/>
  <c r="B32" i="5" a="1"/>
  <c r="B32" i="5" s="1"/>
  <c r="B29" i="5" a="1"/>
  <c r="B29" i="5" s="1"/>
  <c r="B27" i="5" a="1"/>
  <c r="B27" i="5" s="1"/>
  <c r="B28" i="5" a="1"/>
  <c r="B28" i="5" s="1"/>
  <c r="B26" i="5" a="1"/>
  <c r="B26" i="5" s="1"/>
  <c r="B21" i="5" a="1"/>
  <c r="B21" i="5" s="1"/>
  <c r="B22" i="5" a="1"/>
  <c r="B22" i="5" s="1"/>
  <c r="B23" i="5" a="1"/>
  <c r="B23" i="5" s="1"/>
  <c r="B20" i="5" a="1"/>
  <c r="B20" i="5" s="1"/>
  <c r="C16" i="5" a="1"/>
  <c r="C16" i="5" s="1"/>
  <c r="C15" i="5" a="1"/>
  <c r="C15" i="5" s="1"/>
  <c r="C13" i="5" a="1"/>
  <c r="C13" i="5" s="1"/>
  <c r="C12" i="5" a="1"/>
  <c r="C12" i="5" s="1"/>
  <c r="B16" i="5" a="1"/>
  <c r="B16" i="5" s="1"/>
  <c r="B15" i="5" a="1"/>
  <c r="B15" i="5" s="1"/>
  <c r="B14" i="5" a="1"/>
  <c r="B14" i="5" s="1"/>
  <c r="B13" i="5" a="1"/>
  <c r="B13" i="5" s="1"/>
  <c r="B12" i="5" a="1"/>
  <c r="B12" i="5" s="1"/>
  <c r="C6" i="5" a="1"/>
  <c r="C6" i="5" s="1"/>
  <c r="C8" i="5" s="1"/>
  <c r="B9" i="5" a="1"/>
  <c r="B9" i="5" s="1"/>
  <c r="B8" i="5" a="1"/>
  <c r="B8" i="5" s="1"/>
  <c r="B7" i="5" a="1"/>
  <c r="B7" i="5" s="1"/>
  <c r="B6" i="5"/>
  <c r="C21" i="5"/>
  <c r="C5" i="5"/>
  <c r="C50" i="4"/>
  <c r="E46" i="4"/>
  <c r="E47" i="4" s="1"/>
  <c r="C38" i="4"/>
  <c r="E40" i="4" s="1"/>
  <c r="E41" i="4" s="1"/>
  <c r="C16" i="4"/>
  <c r="C6" i="4"/>
  <c r="B27" i="3"/>
  <c r="B26" i="3"/>
  <c r="B18" i="3"/>
  <c r="B19" i="3"/>
  <c r="B20" i="3"/>
  <c r="B21" i="3"/>
  <c r="B13" i="3" a="1"/>
  <c r="B13" i="3" s="1"/>
  <c r="B14" i="3" a="1"/>
  <c r="B14" i="3" s="1"/>
  <c r="B12" i="3" a="1"/>
  <c r="B12" i="3" s="1"/>
  <c r="B6" i="3" a="1"/>
  <c r="B6" i="3" s="1"/>
  <c r="B7" i="3" a="1"/>
  <c r="B7" i="3" s="1"/>
  <c r="B8" i="3" a="1"/>
  <c r="B8" i="3" s="1"/>
  <c r="B9" i="3" a="1"/>
  <c r="B9" i="3" s="1"/>
  <c r="B10" i="3" a="1"/>
  <c r="B10" i="3" s="1"/>
  <c r="B11" i="3" a="1"/>
  <c r="B11" i="3" s="1"/>
  <c r="B5" i="3" a="1"/>
  <c r="B5" i="3" s="1"/>
  <c r="C6" i="3" a="1"/>
  <c r="C6" i="3" s="1"/>
  <c r="H6" i="3" s="1" a="1"/>
  <c r="H6" i="3" s="1"/>
  <c r="C7" i="3" a="1"/>
  <c r="C7" i="3" s="1"/>
  <c r="F7" i="3" s="1" a="1"/>
  <c r="F7" i="3" s="1"/>
  <c r="C8" i="3" a="1"/>
  <c r="C8" i="3" s="1"/>
  <c r="I8" i="3" s="1" a="1"/>
  <c r="I8" i="3" s="1"/>
  <c r="C9" i="3" a="1"/>
  <c r="C9" i="3" s="1"/>
  <c r="G9" i="3" s="1" a="1"/>
  <c r="G9" i="3" s="1"/>
  <c r="C10" i="3" a="1"/>
  <c r="C10" i="3" s="1"/>
  <c r="G10" i="3" s="1" a="1"/>
  <c r="G10" i="3" s="1"/>
  <c r="C12" i="3" a="1"/>
  <c r="C12" i="3" s="1"/>
  <c r="D12" i="3" s="1" a="1"/>
  <c r="D12" i="3" s="1"/>
  <c r="C11" i="3" a="1"/>
  <c r="C11" i="3" s="1"/>
  <c r="D11" i="3" s="1" a="1"/>
  <c r="D11" i="3" s="1"/>
  <c r="C13" i="3" a="1"/>
  <c r="C13" i="3" s="1"/>
  <c r="E13" i="3" s="1" a="1"/>
  <c r="E13" i="3" s="1"/>
  <c r="C14" i="3" a="1"/>
  <c r="C14" i="3" s="1"/>
  <c r="H14" i="3" s="1" a="1"/>
  <c r="H14" i="3" s="1"/>
  <c r="C5" i="3" a="1"/>
  <c r="C5" i="3" s="1"/>
  <c r="F5" i="3" s="1" a="1"/>
  <c r="F5" i="3" s="1"/>
  <c r="B37" i="2"/>
  <c r="B44" i="2"/>
  <c r="D44" i="2" s="1"/>
  <c r="B43" i="2"/>
  <c r="D43" i="2" s="1"/>
  <c r="B32" i="2"/>
  <c r="B25" i="2"/>
  <c r="E25" i="2" s="1"/>
  <c r="B24" i="2"/>
  <c r="F24" i="2" s="1"/>
  <c r="B19" i="2"/>
  <c r="B18" i="2"/>
  <c r="C12" i="2"/>
  <c r="B23" i="2" s="1"/>
  <c r="C11" i="2"/>
  <c r="C36" i="2" s="1"/>
  <c r="C10" i="2"/>
  <c r="D31" i="2" s="1"/>
  <c r="C5" i="2"/>
  <c r="C38" i="2" s="1"/>
  <c r="C54" i="8"/>
  <c r="C56" i="8" s="1"/>
  <c r="C43" i="8" a="1"/>
  <c r="C43" i="8" s="1"/>
  <c r="C9" i="2" s="1"/>
  <c r="B38" i="2" s="1"/>
  <c r="C39" i="8" a="1"/>
  <c r="C39" i="8" s="1"/>
  <c r="C6" i="2" s="1"/>
  <c r="D29" i="2" s="1"/>
  <c r="C42" i="8" a="1"/>
  <c r="C42" i="8" s="1"/>
  <c r="C8" i="2" s="1"/>
  <c r="D30" i="2" s="1"/>
  <c r="C41" i="8" a="1"/>
  <c r="C41" i="8" s="1"/>
  <c r="B30" i="2" s="1"/>
  <c r="C40" i="8" a="1"/>
  <c r="C40" i="8" s="1"/>
  <c r="C7" i="2" s="1"/>
  <c r="C29" i="2" s="1"/>
  <c r="C38" i="8" a="1"/>
  <c r="C38" i="8" s="1"/>
  <c r="B29" i="2" s="1"/>
  <c r="B44" i="8" a="1"/>
  <c r="B44" i="8" s="1"/>
  <c r="B45" i="8" a="1"/>
  <c r="B45" i="8" s="1"/>
  <c r="B46" i="8" a="1"/>
  <c r="B46" i="8" s="1"/>
  <c r="B47" i="8" a="1"/>
  <c r="B47" i="8" s="1"/>
  <c r="B48" i="8" a="1"/>
  <c r="B48" i="8" s="1"/>
  <c r="B49" i="8" a="1"/>
  <c r="B49" i="8" s="1"/>
  <c r="B50" i="8" a="1"/>
  <c r="B50" i="8" s="1"/>
  <c r="B51" i="8" a="1"/>
  <c r="B51" i="8" s="1"/>
  <c r="B37" i="8" a="1"/>
  <c r="B37" i="8" s="1"/>
  <c r="B9" i="8" a="1"/>
  <c r="B9" i="8" s="1"/>
  <c r="B8" i="8" a="1"/>
  <c r="B8" i="8" s="1"/>
  <c r="C68" i="8" s="1"/>
  <c r="C72" i="8" s="1" a="1"/>
  <c r="C72" i="8" s="1"/>
  <c r="B7" i="8" a="1"/>
  <c r="B7" i="8" s="1"/>
  <c r="B6" i="8" a="1"/>
  <c r="B6" i="8" s="1"/>
  <c r="C67" i="8" s="1"/>
  <c r="G65" i="6" l="1"/>
  <c r="G63" i="6"/>
  <c r="C63" i="6" s="1"/>
  <c r="C64" i="6" s="1"/>
  <c r="C17" i="5"/>
  <c r="C34" i="5" s="1"/>
  <c r="C35" i="5"/>
  <c r="C20" i="5"/>
  <c r="C22" i="5" s="1"/>
  <c r="C14" i="5"/>
  <c r="C32" i="5"/>
  <c r="C9" i="5"/>
  <c r="C26" i="5"/>
  <c r="E52" i="4"/>
  <c r="B25" i="3"/>
  <c r="C58" i="8"/>
  <c r="C61" i="8"/>
  <c r="G24" i="2"/>
  <c r="D14" i="3" a="1"/>
  <c r="D14" i="3" s="1"/>
  <c r="D6" i="3" a="1"/>
  <c r="D6" i="3" s="1"/>
  <c r="G12" i="3" a="1"/>
  <c r="G12" i="3" s="1"/>
  <c r="C59" i="8"/>
  <c r="D10" i="3" a="1"/>
  <c r="D10" i="3" s="1"/>
  <c r="E12" i="3" a="1"/>
  <c r="E12" i="3" s="1"/>
  <c r="F14" i="3" a="1"/>
  <c r="F14" i="3" s="1"/>
  <c r="F6" i="3" a="1"/>
  <c r="F6" i="3" s="1"/>
  <c r="G8" i="3" a="1"/>
  <c r="G8" i="3" s="1"/>
  <c r="J8" i="3" s="1"/>
  <c r="H13" i="3" a="1"/>
  <c r="H13" i="3" s="1"/>
  <c r="I5" i="3" a="1"/>
  <c r="I5" i="3" s="1"/>
  <c r="I7" i="3" a="1"/>
  <c r="I7" i="3" s="1"/>
  <c r="D9" i="3" a="1"/>
  <c r="D9" i="3" s="1"/>
  <c r="E11" i="3" a="1"/>
  <c r="E11" i="3" s="1"/>
  <c r="F13" i="3" a="1"/>
  <c r="F13" i="3" s="1"/>
  <c r="G5" i="3" a="1"/>
  <c r="G5" i="3" s="1"/>
  <c r="G7" i="3" a="1"/>
  <c r="G7" i="3" s="1"/>
  <c r="H12" i="3" a="1"/>
  <c r="H12" i="3" s="1"/>
  <c r="I14" i="3" a="1"/>
  <c r="I14" i="3" s="1"/>
  <c r="I6" i="3" a="1"/>
  <c r="I6" i="3" s="1"/>
  <c r="D8" i="3" a="1"/>
  <c r="D8" i="3" s="1"/>
  <c r="E10" i="3" a="1"/>
  <c r="E10" i="3" s="1"/>
  <c r="F12" i="3" a="1"/>
  <c r="F12" i="3" s="1"/>
  <c r="G14" i="3" a="1"/>
  <c r="G14" i="3" s="1"/>
  <c r="G6" i="3" a="1"/>
  <c r="G6" i="3" s="1"/>
  <c r="H11" i="3" a="1"/>
  <c r="H11" i="3" s="1"/>
  <c r="I13" i="3" a="1"/>
  <c r="I13" i="3" s="1"/>
  <c r="D5" i="3" a="1"/>
  <c r="D5" i="3" s="1"/>
  <c r="D7" i="3" a="1"/>
  <c r="D7" i="3" s="1"/>
  <c r="E9" i="3" a="1"/>
  <c r="E9" i="3" s="1"/>
  <c r="F11" i="3" a="1"/>
  <c r="F11" i="3" s="1"/>
  <c r="G13" i="3" a="1"/>
  <c r="G13" i="3" s="1"/>
  <c r="H10" i="3" a="1"/>
  <c r="H10" i="3" s="1"/>
  <c r="I12" i="3" a="1"/>
  <c r="I12" i="3" s="1"/>
  <c r="E8" i="3" a="1"/>
  <c r="E8" i="3" s="1"/>
  <c r="F10" i="3" a="1"/>
  <c r="F10" i="3" s="1"/>
  <c r="H9" i="3" a="1"/>
  <c r="H9" i="3" s="1"/>
  <c r="I11" i="3" a="1"/>
  <c r="I11" i="3" s="1"/>
  <c r="C55" i="8"/>
  <c r="B17" i="2"/>
  <c r="B42" i="2"/>
  <c r="D42" i="2" s="1"/>
  <c r="G42" i="2" s="1"/>
  <c r="D13" i="3" a="1"/>
  <c r="D13" i="3" s="1"/>
  <c r="E5" i="3" a="1"/>
  <c r="E5" i="3" s="1"/>
  <c r="E7" i="3" a="1"/>
  <c r="E7" i="3" s="1"/>
  <c r="F9" i="3" a="1"/>
  <c r="F9" i="3" s="1"/>
  <c r="G11" i="3" a="1"/>
  <c r="G11" i="3" s="1"/>
  <c r="J11" i="3" s="1"/>
  <c r="H8" i="3" a="1"/>
  <c r="H8" i="3" s="1"/>
  <c r="I10" i="3" a="1"/>
  <c r="I10" i="3" s="1"/>
  <c r="J10" i="3" s="1"/>
  <c r="B51" i="2"/>
  <c r="E14" i="3" a="1"/>
  <c r="E14" i="3" s="1"/>
  <c r="E6" i="3" a="1"/>
  <c r="E6" i="3" s="1"/>
  <c r="F8" i="3" a="1"/>
  <c r="F8" i="3" s="1"/>
  <c r="H5" i="3" a="1"/>
  <c r="H5" i="3" s="1"/>
  <c r="H7" i="3" a="1"/>
  <c r="H7" i="3" s="1"/>
  <c r="I9" i="3" a="1"/>
  <c r="I9" i="3" s="1"/>
  <c r="J9" i="3" s="1"/>
  <c r="C30" i="2"/>
  <c r="F30" i="2" s="1"/>
  <c r="C25" i="2"/>
  <c r="D25" i="2"/>
  <c r="C24" i="2"/>
  <c r="D24" i="2"/>
  <c r="F25" i="2"/>
  <c r="E24" i="2"/>
  <c r="G25" i="2"/>
  <c r="D38" i="2"/>
  <c r="E38" i="2"/>
  <c r="E43" i="2"/>
  <c r="G43" i="2"/>
  <c r="G44" i="2"/>
  <c r="E44" i="2"/>
  <c r="E23" i="2"/>
  <c r="C23" i="2"/>
  <c r="F23" i="2"/>
  <c r="D23" i="2"/>
  <c r="G23" i="2"/>
  <c r="C19" i="2"/>
  <c r="C37" i="2"/>
  <c r="H23" i="2"/>
  <c r="H24" i="2"/>
  <c r="I24" i="2" s="1"/>
  <c r="H25" i="2"/>
  <c r="I25" i="2" s="1"/>
  <c r="C17" i="2"/>
  <c r="C32" i="2"/>
  <c r="C18" i="2"/>
  <c r="C31" i="2"/>
  <c r="B36" i="2"/>
  <c r="E36" i="2" s="1"/>
  <c r="C71" i="8" a="1"/>
  <c r="C71" i="8" s="1"/>
  <c r="C62" i="8" s="1"/>
  <c r="C70" i="8" a="1"/>
  <c r="C70" i="8" s="1"/>
  <c r="C69" i="8" a="1"/>
  <c r="C69" i="8" s="1"/>
  <c r="C63" i="8" s="1"/>
  <c r="D63" i="6" l="1"/>
  <c r="D64" i="6" s="1"/>
  <c r="E63" i="6"/>
  <c r="E64" i="6" s="1"/>
  <c r="B63" i="6"/>
  <c r="B64" i="6" s="1"/>
  <c r="F63" i="6"/>
  <c r="F64" i="6" s="1"/>
  <c r="G64" i="6"/>
  <c r="E65" i="6"/>
  <c r="E67" i="6" s="1"/>
  <c r="E69" i="6" s="1"/>
  <c r="C65" i="6"/>
  <c r="C67" i="6" s="1"/>
  <c r="C69" i="6" s="1"/>
  <c r="F65" i="6"/>
  <c r="D65" i="6"/>
  <c r="D67" i="6" s="1"/>
  <c r="D69" i="6" s="1"/>
  <c r="B65" i="6"/>
  <c r="C36" i="5"/>
  <c r="C28" i="5"/>
  <c r="C29" i="5" s="1"/>
  <c r="C23" i="5"/>
  <c r="C33" i="5" s="1"/>
  <c r="G19" i="3" a="1"/>
  <c r="G19" i="3" s="1"/>
  <c r="G20" i="3" a="1"/>
  <c r="G20" i="3" s="1"/>
  <c r="G18" i="3" a="1"/>
  <c r="G18" i="3" s="1"/>
  <c r="I23" i="2"/>
  <c r="J12" i="3"/>
  <c r="B55" i="2"/>
  <c r="C64" i="8"/>
  <c r="J6" i="3"/>
  <c r="J7" i="3"/>
  <c r="J13" i="3"/>
  <c r="J14" i="3"/>
  <c r="C18" i="3"/>
  <c r="J5" i="3"/>
  <c r="D18" i="3" a="1"/>
  <c r="D18" i="3" s="1"/>
  <c r="E18" i="3" a="1"/>
  <c r="E18" i="3" s="1"/>
  <c r="F18" i="3" a="1"/>
  <c r="F18" i="3" s="1"/>
  <c r="E30" i="2"/>
  <c r="E42" i="2"/>
  <c r="C19" i="3"/>
  <c r="D19" i="3" a="1"/>
  <c r="D19" i="3" s="1"/>
  <c r="E19" i="3" a="1"/>
  <c r="E19" i="3" s="1"/>
  <c r="F19" i="3" a="1"/>
  <c r="F19" i="3" s="1"/>
  <c r="C20" i="3"/>
  <c r="D20" i="3" a="1"/>
  <c r="D20" i="3" s="1"/>
  <c r="E20" i="3" a="1"/>
  <c r="E20" i="3" s="1"/>
  <c r="F20" i="3" a="1"/>
  <c r="F20" i="3" s="1"/>
  <c r="D18" i="2"/>
  <c r="B49" i="2" s="1"/>
  <c r="F18" i="2"/>
  <c r="E18" i="2"/>
  <c r="F19" i="2"/>
  <c r="E19" i="2"/>
  <c r="D19" i="2"/>
  <c r="B50" i="2" s="1"/>
  <c r="F32" i="2"/>
  <c r="B52" i="2" s="1"/>
  <c r="E32" i="2"/>
  <c r="F17" i="2"/>
  <c r="B54" i="2" s="1"/>
  <c r="D17" i="2"/>
  <c r="B48" i="2" s="1"/>
  <c r="E17" i="2"/>
  <c r="B53" i="2" s="1"/>
  <c r="E37" i="2"/>
  <c r="D37" i="2"/>
  <c r="F37" i="2" s="1"/>
  <c r="D36" i="2"/>
  <c r="F36" i="2" s="1"/>
  <c r="E31" i="2"/>
  <c r="F31" i="2"/>
  <c r="B67" i="6" l="1"/>
  <c r="F67" i="6"/>
  <c r="F69" i="6" s="1"/>
  <c r="B69" i="6"/>
  <c r="G69" i="6" s="1"/>
  <c r="C27" i="5"/>
  <c r="G21" i="3" a="1"/>
  <c r="G21" i="3" s="1"/>
  <c r="C27" i="3"/>
  <c r="D27" i="3" s="1"/>
  <c r="E27" i="3" s="1"/>
  <c r="C25" i="3"/>
  <c r="D25" i="3" s="1"/>
  <c r="E25" i="3" s="1"/>
  <c r="C26" i="3"/>
  <c r="D26" i="3" s="1"/>
  <c r="E26" i="3" s="1"/>
  <c r="D21" i="3" a="1"/>
  <c r="D21" i="3" s="1"/>
  <c r="E21" i="3" a="1"/>
  <c r="E21" i="3" s="1"/>
  <c r="F21" i="3" a="1"/>
  <c r="F21" i="3" s="1"/>
  <c r="C21" i="3"/>
  <c r="F38" i="2"/>
  <c r="G67" i="6"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<sst xmlns="http://schemas.openxmlformats.org/spreadsheetml/2006/main" count="1785" uniqueCount="942">
  <si>
    <t>SPACEX ACQUISITION OF CURSOR – DEAL FACT SHEET</t>
  </si>
  <si>
    <t>Item</t>
  </si>
  <si>
    <t>Value</t>
  </si>
  <si>
    <t>Units</t>
  </si>
  <si>
    <t>Source</t>
  </si>
  <si>
    <t>Confidence</t>
  </si>
  <si>
    <t>Notes</t>
  </si>
  <si>
    <t xml:space="preserve">DEAL TRANSACTION TERMS </t>
  </si>
  <si>
    <t xml:space="preserve">Announcement </t>
  </si>
  <si>
    <t xml:space="preserve">Acquirer </t>
  </si>
  <si>
    <t xml:space="preserve">Acquirer Ticker </t>
  </si>
  <si>
    <t xml:space="preserve">Target </t>
  </si>
  <si>
    <t xml:space="preserve">Target Product </t>
  </si>
  <si>
    <t xml:space="preserve">Deal Status </t>
  </si>
  <si>
    <t>Consideration Type</t>
  </si>
  <si>
    <t>Stock Consideration</t>
  </si>
  <si>
    <t xml:space="preserve">Headline Transaction Value </t>
  </si>
  <si>
    <t xml:space="preserve">Exchange Ratio Type </t>
  </si>
  <si>
    <t>VWAP Measurement Period</t>
  </si>
  <si>
    <t>Expected Close</t>
  </si>
  <si>
    <t xml:space="preserve">Required Approvals </t>
  </si>
  <si>
    <t>April Option Date</t>
  </si>
  <si>
    <t>Walk-Away Economics</t>
  </si>
  <si>
    <t>Breakup Fee Component</t>
  </si>
  <si>
    <t>Compute Component</t>
  </si>
  <si>
    <t>Earnout/Retention Disclosure</t>
  </si>
  <si>
    <t xml:space="preserve">Form of Seller Proceeds </t>
  </si>
  <si>
    <t>Entity/PBID</t>
  </si>
  <si>
    <t xml:space="preserve">SpaceX </t>
  </si>
  <si>
    <t>Anysphere</t>
  </si>
  <si>
    <t>Cursor</t>
  </si>
  <si>
    <t xml:space="preserve">All Stock </t>
  </si>
  <si>
    <t>SPCX</t>
  </si>
  <si>
    <t xml:space="preserve">SPCX Class A Shares </t>
  </si>
  <si>
    <t>Floating Value/ VWAP– Set Ratio</t>
  </si>
  <si>
    <t xml:space="preserve">7 Trading days Before the Close </t>
  </si>
  <si>
    <t>Q3 2026</t>
  </si>
  <si>
    <t>TBD per Filing</t>
  </si>
  <si>
    <t>Non–Disclosed/TBD</t>
  </si>
  <si>
    <t>SPCX Stock</t>
  </si>
  <si>
    <t>text</t>
  </si>
  <si>
    <t xml:space="preserve">PARTIES AND STRATEGIC LOGIC </t>
  </si>
  <si>
    <t xml:space="preserve">Strategic Rationale </t>
  </si>
  <si>
    <t>Margin Trap Thesis</t>
  </si>
  <si>
    <t>Model Dependency</t>
  </si>
  <si>
    <t>Integration Question</t>
  </si>
  <si>
    <t xml:space="preserve">Key Talent Risk </t>
  </si>
  <si>
    <t>Key Commercial Risk</t>
  </si>
  <si>
    <t>CURSOR FUNDING/ARR HISTORY</t>
  </si>
  <si>
    <t>Target PitchBook ID</t>
  </si>
  <si>
    <t>Series C Date</t>
  </si>
  <si>
    <t xml:space="preserve">Series C Amount </t>
  </si>
  <si>
    <t xml:space="preserve">Series C Post Money </t>
  </si>
  <si>
    <t>Late 2025 Round Date</t>
  </si>
  <si>
    <t>Late 2025 Round Amount</t>
  </si>
  <si>
    <t xml:space="preserve">Late 2025 Post Money </t>
  </si>
  <si>
    <t xml:space="preserve">Pre-empted Round Amount </t>
  </si>
  <si>
    <t>Pre-empted Round Valuation</t>
  </si>
  <si>
    <t xml:space="preserve">ARR low Case </t>
  </si>
  <si>
    <t xml:space="preserve">ARR Base Case </t>
  </si>
  <si>
    <t>a16z Ownership</t>
  </si>
  <si>
    <t>Thrive Ownership</t>
  </si>
  <si>
    <t xml:space="preserve">NVIDIA Ownership/ Exposure </t>
  </si>
  <si>
    <t xml:space="preserve">Founder Proceeds/ Founder </t>
  </si>
  <si>
    <t>287345-62T</t>
  </si>
  <si>
    <t>312975-01T</t>
  </si>
  <si>
    <t>$B</t>
  </si>
  <si>
    <t>TBD</t>
  </si>
  <si>
    <t>%</t>
  </si>
  <si>
    <t>EV/ARR– Low ARR Case</t>
  </si>
  <si>
    <t>EV/ARR– Base ARR Case</t>
  </si>
  <si>
    <t>EV/ARR– High ARR Case</t>
  </si>
  <si>
    <t xml:space="preserve">Premium to late - 2025 Post Money </t>
  </si>
  <si>
    <t xml:space="preserve">Premium to Pre-empted Round Valuation </t>
  </si>
  <si>
    <t xml:space="preserve">SpaceX IPO Equity Value  </t>
  </si>
  <si>
    <t xml:space="preserve">Dilution vs  IPO Equity Value </t>
  </si>
  <si>
    <t>Announcement Market Cap</t>
  </si>
  <si>
    <t xml:space="preserve">Announcement Day Move </t>
  </si>
  <si>
    <t>Market Implied Value Created</t>
  </si>
  <si>
    <t xml:space="preserve">PITCHBOOK PULLS/ MARKET DATA </t>
  </si>
  <si>
    <t xml:space="preserve">SpaceX PitchBook ID </t>
  </si>
  <si>
    <t>Anysphere PitchBook ID</t>
  </si>
  <si>
    <t xml:space="preserve">Announcement Close Price </t>
  </si>
  <si>
    <t xml:space="preserve">Prior Day Close Price </t>
  </si>
  <si>
    <t>Announcement Day Market Cap</t>
  </si>
  <si>
    <t>Anysphere Most Recent Post Valuation</t>
  </si>
  <si>
    <t>Anysphere Total Raised</t>
  </si>
  <si>
    <t>Anysphere Investor List</t>
  </si>
  <si>
    <t>Merger filing / press release</t>
  </si>
  <si>
    <t>M</t>
  </si>
  <si>
    <t>H</t>
  </si>
  <si>
    <t>Merger agreement</t>
  </si>
  <si>
    <t>Press / agreement</t>
  </si>
  <si>
    <t>M/L</t>
  </si>
  <si>
    <t>Text</t>
  </si>
  <si>
    <t>PitchBook</t>
  </si>
  <si>
    <t>Late-2025 financing date from PitchBook.</t>
  </si>
  <si>
    <t>Press</t>
  </si>
  <si>
    <t>Press / model judgment</t>
  </si>
  <si>
    <t>PitchBook / press</t>
  </si>
  <si>
    <t>Formula</t>
  </si>
  <si>
    <t>x</t>
  </si>
  <si>
    <t>H/M</t>
  </si>
  <si>
    <t>L</t>
  </si>
  <si>
    <t>Announcement date; use ISO date format.</t>
  </si>
  <si>
    <t>SPCX S-1 / merger filing</t>
  </si>
  <si>
    <t>Acquirer legal/company name.</t>
  </si>
  <si>
    <t>Nasdaq / PitchBook</t>
  </si>
  <si>
    <t>Public ticker.</t>
  </si>
  <si>
    <t>Merger filing / PitchBook</t>
  </si>
  <si>
    <t>Target legal/company name.</t>
  </si>
  <si>
    <t>Company / press</t>
  </si>
  <si>
    <t>Cursor is Anysphere’s core AI coding product.</t>
  </si>
  <si>
    <t>Merger filing</t>
  </si>
  <si>
    <t>Deal is announced and pending close, not completed.</t>
  </si>
  <si>
    <t>All-stock consideration.</t>
  </si>
  <si>
    <t>Verify exact share class in the agreement.</t>
  </si>
  <si>
    <t>Merger agreement / press release</t>
  </si>
  <si>
    <t>Headline transaction value; do not call this enterprise value unless debt/cash treatment is confirmed.</t>
  </si>
  <si>
    <t>Value fixed; share count floats based on VWAP-set exchange ratio.</t>
  </si>
  <si>
    <t>Exchange ratio based on 7 trading-day VWAP before close.</t>
  </si>
  <si>
    <t>Expected closing period; do not convert to exact date unless disclosed.</t>
  </si>
  <si>
    <t>Replace with exact approvals once confirmed from agreement.</t>
  </si>
  <si>
    <t>Press / agreement if disclosed</t>
  </si>
  <si>
    <t>April option date; upgrade to H only if filing confirms.</t>
  </si>
  <si>
    <t>Reported total walk-away package.</t>
  </si>
  <si>
    <t>Reported breakup fee component.</t>
  </si>
  <si>
    <t>Reported compute component; keep lower confidence unless agreement confirms.</t>
  </si>
  <si>
    <t>Important retention risk if no earnout or special retention package is disclosed.</t>
  </si>
  <si>
    <t>Seller proceeds remain exposed to SPCX stock performance.</t>
  </si>
  <si>
    <t>Product + talent + margin synergy</t>
  </si>
  <si>
    <t>Model judgment / press synthesis</t>
  </si>
  <si>
    <t>Working strategic thesis; support later with filing and press evidence.</t>
  </si>
  <si>
    <t>xAI folded into SpaceX; coding gap still needs support</t>
  </si>
  <si>
    <t>Filing / press</t>
  </si>
  <si>
    <t>Use careful sourcing before stating as fact.</t>
  </si>
  <si>
    <t>Grok coding performance gap / Cursor product gap</t>
  </si>
  <si>
    <t>Do not overstate without direct evidence.</t>
  </si>
  <si>
    <t>AI coding workflow and developer distribution</t>
  </si>
  <si>
    <t>Core product rationale.</t>
  </si>
  <si>
    <t>Retail model-API cost exposure / margin improvement opportunity</t>
  </si>
  <si>
    <t>Margin trap thesis needs source support.</t>
  </si>
  <si>
    <t>Anthropic / OpenAI / other model-provider dependency</t>
  </si>
  <si>
    <t>Product docs / press</t>
  </si>
  <si>
    <t>Verify actual model mix.</t>
  </si>
  <si>
    <t>Remain model-agnostic vs. xAI-preferred roadmap</t>
  </si>
  <si>
    <t>Model judgment</t>
  </si>
  <si>
    <t>Key integration and customer-trust issue.</t>
  </si>
  <si>
    <t>Founder and researcher retention</t>
  </si>
  <si>
    <t>No earnout disclosure makes retention a major diligence item.</t>
  </si>
  <si>
    <t>Enterprise churn if Cursor neutrality changes</t>
  </si>
  <si>
    <t>Commercial risk if customers view Cursor as captive to xAI.</t>
  </si>
  <si>
    <t>Use PitchBook company profile ID.</t>
  </si>
  <si>
    <t>Use exact financing date from PitchBook.</t>
  </si>
  <si>
    <t>Series C amount from PitchBook financing history.</t>
  </si>
  <si>
    <t>Series C post-money valuation from PitchBook.</t>
  </si>
  <si>
    <t>Late-2025 round amount from PitchBook.</t>
  </si>
  <si>
    <t>Most recent confirmed post-money valuation before acquisition.</t>
  </si>
  <si>
    <t>Reported proposed/preempted financing round amount; not closed.</t>
  </si>
  <si>
    <t>Reported proposed valuation before SpaceX acquisition.</t>
  </si>
  <si>
    <t>Low ARR case; press-reported annualized revenue estimate.</t>
  </si>
  <si>
    <t>Base ARR placeholder pending source triangulation.</t>
  </si>
  <si>
    <t>Use PitchBook cap table if available.</t>
  </si>
  <si>
    <t>Separate equity ownership from commercial/model or compute exposure.</t>
  </si>
  <si>
    <t>Do not treat as high-confidence unless cap table supports.</t>
  </si>
  <si>
    <t>Spacer or summary row if used later.</t>
  </si>
  <si>
    <t>Pulls headline value from transaction terms.</t>
  </si>
  <si>
    <t>Headline value divided by ARR low case.</t>
  </si>
  <si>
    <t>Headline value divided by ARR base case.</t>
  </si>
  <si>
    <t>N/D</t>
  </si>
  <si>
    <t>Model placeholder</t>
  </si>
  <si>
    <t>No separate ARR High Case input row is currently available; add one later in Step 2 if keeping the $4B case.</t>
  </si>
  <si>
    <t>Premium to late-2025 post-money valuation.</t>
  </si>
  <si>
    <t>Premium to reported preempted round valuation.</t>
  </si>
  <si>
    <t>SPCX S-1 / IPO workbook</t>
  </si>
  <si>
    <t>Use IPO equity value, not announcement-day market cap.</t>
  </si>
  <si>
    <t>Approximate dilution versus IPO equity value.</t>
  </si>
  <si>
    <t>Formula / PitchBook market data</t>
  </si>
  <si>
    <t>References announcement-day market cap from PitchBook Pulls section without editing C71.</t>
  </si>
  <si>
    <t>Announcement close divided by prior-day close minus one.</t>
  </si>
  <si>
    <t>Rough market cap increase from announcement move; do not label this as synergy value.</t>
  </si>
  <si>
    <t>IPO workbook / PitchBook</t>
  </si>
  <si>
    <t>SpaceX PitchBook ID from IPO workbook.</t>
  </si>
  <si>
    <t>Anysphere PitchBook ID.</t>
  </si>
  <si>
    <t>$/share</t>
  </si>
  <si>
    <t>PitchBook Market Data</t>
  </si>
  <si>
    <t>SPCX close price on announcement date.</t>
  </si>
  <si>
    <t>SPCX close price on prior trading day.</t>
  </si>
  <si>
    <t>Announcement-day market capitalization.</t>
  </si>
  <si>
    <t>Should reconcile to target valuation / most recent post-money field.</t>
  </si>
  <si>
    <t>Use PitchBook financing summary.</t>
  </si>
  <si>
    <t>PitchBook export / manual paste</t>
  </si>
  <si>
    <t>Investor list belongs in detail on a later cap table tab.</t>
  </si>
  <si>
    <t>VALUATION SNAPSHOT</t>
  </si>
  <si>
    <t>Cursor Strategic Asset</t>
  </si>
  <si>
    <t>xAI Context</t>
  </si>
  <si>
    <t>Date</t>
  </si>
  <si>
    <t>Announced / Pending Close</t>
  </si>
  <si>
    <t xml:space="preserve">Anysphere </t>
  </si>
  <si>
    <t xml:space="preserve">Text </t>
  </si>
  <si>
    <t>Coding Product Gap</t>
  </si>
  <si>
    <t>SpaceX/Anysphere</t>
  </si>
  <si>
    <t xml:space="preserve">Metric </t>
  </si>
  <si>
    <t>Data/Case</t>
  </si>
  <si>
    <t>Derived Value</t>
  </si>
  <si>
    <t>Derived Units</t>
  </si>
  <si>
    <t>CORE VALUE INPUTS</t>
  </si>
  <si>
    <t xml:space="preserve">Series C Post Money Valuation </t>
  </si>
  <si>
    <t>Late-2025 Post Money Valuation</t>
  </si>
  <si>
    <t>Preempted Round Valuation</t>
  </si>
  <si>
    <t>Preempted Round Amount</t>
  </si>
  <si>
    <t>ARR Low Case</t>
  </si>
  <si>
    <t xml:space="preserve">ARR High Case </t>
  </si>
  <si>
    <t>ARR ($B)</t>
  </si>
  <si>
    <t>Headline Value ($B)</t>
  </si>
  <si>
    <t>Headline Value/ARR</t>
  </si>
  <si>
    <t>ARR required 20.0x</t>
  </si>
  <si>
    <t>ARR required 25.0x</t>
  </si>
  <si>
    <t xml:space="preserve">Source </t>
  </si>
  <si>
    <t xml:space="preserve">Confidence </t>
  </si>
  <si>
    <t xml:space="preserve">Low Case </t>
  </si>
  <si>
    <t xml:space="preserve">Base Case </t>
  </si>
  <si>
    <t>High Case</t>
  </si>
  <si>
    <t>10.0x</t>
  </si>
  <si>
    <t>15.0x</t>
  </si>
  <si>
    <t>20.0x</t>
  </si>
  <si>
    <t>25.0x</t>
  </si>
  <si>
    <t>30.0x</t>
  </si>
  <si>
    <t>Acquisition value($B)</t>
  </si>
  <si>
    <t>Premium/Discount to (20.0x)</t>
  </si>
  <si>
    <t>Low Case</t>
  </si>
  <si>
    <t xml:space="preserve">High Case </t>
  </si>
  <si>
    <t>Valuation Milestone</t>
  </si>
  <si>
    <t>Valuation ($B)</t>
  </si>
  <si>
    <t>Capital Raised ($B)</t>
  </si>
  <si>
    <t>Increase vs Prior ($B)</t>
  </si>
  <si>
    <t>Premium vs Prior</t>
  </si>
  <si>
    <t xml:space="preserve">Series C Post–Money </t>
  </si>
  <si>
    <t>Late–2025 Post– Money</t>
  </si>
  <si>
    <t xml:space="preserve">SpaceX Acquisition Price </t>
  </si>
  <si>
    <t xml:space="preserve">PREMIUM ATTRIBUTION </t>
  </si>
  <si>
    <t xml:space="preserve">Premium Component </t>
  </si>
  <si>
    <t>Starting Value ($B)</t>
  </si>
  <si>
    <t>Ending Value ($B)</t>
  </si>
  <si>
    <t>Incremental Value ($B)</t>
  </si>
  <si>
    <t>Premium</t>
  </si>
  <si>
    <t xml:space="preserve">% of Total Uplift </t>
  </si>
  <si>
    <t xml:space="preserve">Finance Re-rating </t>
  </si>
  <si>
    <t xml:space="preserve">Acquisition Premium </t>
  </si>
  <si>
    <t xml:space="preserve">Total Uplift </t>
  </si>
  <si>
    <t>FAIR VALUE FRAMEWORK</t>
  </si>
  <si>
    <t>Case</t>
  </si>
  <si>
    <t xml:space="preserve">Selected Multiple </t>
  </si>
  <si>
    <t>Implied Value($B)</t>
  </si>
  <si>
    <t xml:space="preserve">Premium / Discount to Deal </t>
  </si>
  <si>
    <t>Probability Weight</t>
  </si>
  <si>
    <t>Probability Weighted Value</t>
  </si>
  <si>
    <t xml:space="preserve">Notes </t>
  </si>
  <si>
    <t xml:space="preserve">Downside </t>
  </si>
  <si>
    <t xml:space="preserve">Base </t>
  </si>
  <si>
    <t xml:space="preserve">Upside </t>
  </si>
  <si>
    <t>Acquisition</t>
  </si>
  <si>
    <t>Merger agreement / Deal Fact Sheet</t>
  </si>
  <si>
    <t>Headline all-stock transaction value. Do not characterize as enterprise value unless cash and debt treatment is confirmed.</t>
  </si>
  <si>
    <t>Series C</t>
  </si>
  <si>
    <t>PitchBook / Deal Fact Sheet</t>
  </si>
  <si>
    <t>Capital raised in the June 2025 Series C financing.</t>
  </si>
  <si>
    <t>Series C post-money valuation from PitchBook data already captured on the Deal Fact Sheet.</t>
  </si>
  <si>
    <t>Late-2025 Round</t>
  </si>
  <si>
    <t>This row functions as the late-2025 financing amount based on the workbook’s existing row structure.</t>
  </si>
  <si>
    <t>Most recent completed post-money valuation before the proposed financing and acquisition.</t>
  </si>
  <si>
    <t>Proposed Round</t>
  </si>
  <si>
    <t>Press / Deal Fact Sheet</t>
  </si>
  <si>
    <t>Reported proposed financing amount that was preempted by the SpaceX transaction. This was not a completed financing.</t>
  </si>
  <si>
    <t>Reported valuation for the proposed financing that was preempted by the SpaceX acquisition.</t>
  </si>
  <si>
    <t>Low</t>
  </si>
  <si>
    <t>Low ARR case based on the lower reported annualized revenue estimate.</t>
  </si>
  <si>
    <t>High</t>
  </si>
  <si>
    <t>Press estimate</t>
  </si>
  <si>
    <t>L/M</t>
  </si>
  <si>
    <t>High-end reported ARR estimate. Treat as aggressive until the ARR definition and reporting period are independently verified.</t>
  </si>
  <si>
    <t>Tests the acquisition value using the low ARR case.</t>
  </si>
  <si>
    <t>Working base case using the ARR base case already captured on the Deal Fact Sheet.</t>
  </si>
  <si>
    <t>Tests the acquisition value using the aggressive high ARR case.</t>
  </si>
  <si>
    <t>N/A</t>
  </si>
  <si>
    <t>Series C financing benchmark.</t>
  </si>
  <si>
    <t>Most recent completed financing valuation before the proposed round and acquisition.</t>
  </si>
  <si>
    <t>Proposed 2026</t>
  </si>
  <si>
    <t>Reported proposed financing valuation. The financing was not completed.</t>
  </si>
  <si>
    <t>Headline acquisition value announced on June 16, 2026.</t>
  </si>
  <si>
    <t>Value increase from the last completed financing valuation to the reported proposed financing valuation.</t>
  </si>
  <si>
    <t>Merger agreement / press</t>
  </si>
  <si>
    <t>M/H</t>
  </si>
  <si>
    <t>Incremental acquisition premium above the reported proposed financing valuation.</t>
  </si>
  <si>
    <t>Total uplift from the last completed financing valuation to the acquisition value.</t>
  </si>
  <si>
    <t>Downside case using the low ARR estimate and a premium growth-software revenue multiple.</t>
  </si>
  <si>
    <t>Base case using the working ARR estimate and a scarcity and strategic-value premium.</t>
  </si>
  <si>
    <t>Upside case using the high ARR estimate and a more normalized premium revenue multiple.</t>
  </si>
  <si>
    <t>VALUATION CONCLUSION</t>
  </si>
  <si>
    <t>Conclusion</t>
  </si>
  <si>
    <t>Value/Statement</t>
  </si>
  <si>
    <t>Acquisition Multiple– Low ARR</t>
  </si>
  <si>
    <t>Acquisition Multiple– Base ARR</t>
  </si>
  <si>
    <t>Acquisition Multiple– High ARR</t>
  </si>
  <si>
    <t>Premium to Late 2025 Round</t>
  </si>
  <si>
    <t xml:space="preserve">Premium to Preempted Round </t>
  </si>
  <si>
    <t>ARR required at 20.0x</t>
  </si>
  <si>
    <t>ARR required at 25.0x</t>
  </si>
  <si>
    <t>Preliminary Fair–Value View</t>
  </si>
  <si>
    <t>At the low ARR estimate, the $60.0B transaction implies an exceptionally aggressive revenue multiple and requires very high future growth or substantial strategic synergies.</t>
  </si>
  <si>
    <t>At the base ARR estimate, the transaction implies a 30.0x revenue multiple, which remains aggressive and requires sustained growth, strong retention, and meaningful strategic value.</t>
  </si>
  <si>
    <t>At the high ARR estimate, the transaction implies a 15.0x revenue multiple, making the price more defensible if the reported $4.0B ARR figure is accurate and comparable.</t>
  </si>
  <si>
    <t>Measures the total valuation uplift from the late-2025 completed financing valuation to the $60.0B acquisition value. This is not equivalent to a conventional acquisition control premium.</t>
  </si>
  <si>
    <t>Measures the incremental premium paid above the reported $50.0B proposed financing valuation. This is the more relevant measure of the incremental acquisition premium.</t>
  </si>
  <si>
    <t>Model</t>
  </si>
  <si>
    <t>Cursor would require approximately $3.0B of ARR to support the $60.0B acquisition value at a 20.0x revenue multiple.</t>
  </si>
  <si>
    <t>Cursor would require approximately $2.4B of ARR to support the $60.0B acquisition value at a 25.0x revenue multiple.</t>
  </si>
  <si>
    <t>Formula / model output</t>
  </si>
  <si>
    <t>The preliminary probability-weighted fair value is based on the current downside, base, and upside assumptions. It must be updated after completing the trading-comps and precedent-transactions analyses.</t>
  </si>
  <si>
    <t>SPACEX ACQUISITION OF CURSOR – TRADING COMPARABLES</t>
  </si>
  <si>
    <t xml:space="preserve">Company </t>
  </si>
  <si>
    <t>Ticker</t>
  </si>
  <si>
    <t>PBID</t>
  </si>
  <si>
    <t>Market Cap ($B)</t>
  </si>
  <si>
    <t>EV ($B)</t>
  </si>
  <si>
    <t>Revenue NTM ($B)</t>
  </si>
  <si>
    <t>Revenue Growth</t>
  </si>
  <si>
    <t>EBITDA Margin</t>
  </si>
  <si>
    <t>Rule of 40</t>
  </si>
  <si>
    <t xml:space="preserve"> Inclusion Weight </t>
  </si>
  <si>
    <t xml:space="preserve">Include </t>
  </si>
  <si>
    <t xml:space="preserve"> Notes </t>
  </si>
  <si>
    <t>GitLab</t>
  </si>
  <si>
    <t>Atlassian</t>
  </si>
  <si>
    <t>Datadog</t>
  </si>
  <si>
    <t>Cloudflare</t>
  </si>
  <si>
    <t>MongoDB</t>
  </si>
  <si>
    <t>Snowflake</t>
  </si>
  <si>
    <t>Confluent</t>
  </si>
  <si>
    <t>Elastic</t>
  </si>
  <si>
    <t>GitHub</t>
  </si>
  <si>
    <t>HashiCorp</t>
  </si>
  <si>
    <t>EV/Revenue NTM</t>
  </si>
  <si>
    <t>Y</t>
  </si>
  <si>
    <t>N</t>
  </si>
  <si>
    <t xml:space="preserve">SUMMARY STATISTICS </t>
  </si>
  <si>
    <t>Metric</t>
  </si>
  <si>
    <t xml:space="preserve">Included Comps </t>
  </si>
  <si>
    <t>Mean</t>
  </si>
  <si>
    <t>Median</t>
  </si>
  <si>
    <t>Minimum</t>
  </si>
  <si>
    <t>Maximum</t>
  </si>
  <si>
    <t>Selected</t>
  </si>
  <si>
    <t xml:space="preserve">Units </t>
  </si>
  <si>
    <t>EV / Revenue NTM</t>
  </si>
  <si>
    <t>CURSOR IMPLIED VALUATION</t>
  </si>
  <si>
    <t>ARR Case</t>
  </si>
  <si>
    <t>Selected Multiple</t>
  </si>
  <si>
    <t>Implied EV ($B)</t>
  </si>
  <si>
    <t>Premium/Discount to Deal</t>
  </si>
  <si>
    <t>Base</t>
  </si>
  <si>
    <t>Closest public developer-tools and DevSecOps comp; directly relevant developer audience and software workflow exposure.</t>
  </si>
  <si>
    <t>Scaled developer-collaboration and productivity software platform; relevant product-led growth and developer ecosystem exposure.</t>
  </si>
  <si>
    <t>High-growth cloud software company with strong developer and enterprise usage; useful premium software valuation benchmark.</t>
  </si>
  <si>
    <t>High-growth infrastructure software platform with strong developer adoption; useful premium-growth benchmark despite different end market.</t>
  </si>
  <si>
    <t>Developer-oriented database platform with consumption and enterprise exposure; relevant infrastructure-software comparison.</t>
  </si>
  <si>
    <t>High-growth data-cloud platform; useful premium valuation benchmark but less directly comparable to an AI coding product.</t>
  </si>
  <si>
    <t>Developer and observability-oriented search platform; relevant software infrastructure comparison.</t>
  </si>
  <si>
    <t>Excluded from selected comp statistics under the current Include flag; retain as a reference comp only.</t>
  </si>
  <si>
    <t>Do not include in public trading statistics because GitHub is not a standalone publicly traded company. Use in precedent-transactions analysis instead.</t>
  </si>
  <si>
    <t>Do not include in public trading statistics because HashiCorp is not a standalone public trading comp for the selected analysis. Use in precedent-transactions analysis instead.</t>
  </si>
  <si>
    <t>Mean, median, minimum, and maximum include only rows marked Y. Selected represents the normalized inclusion-weighted revenue growth rate.</t>
  </si>
  <si>
    <t>Selected multiple is the normalized inclusion-weighted NTM revenue multiple and will be applied to each Cursor ARR scenario.</t>
  </si>
  <si>
    <t>Selected value represents the normalized inclusion-weighted EBITDA margin of included trading comps.</t>
  </si>
  <si>
    <t>Rule of 40 equals Revenue Growth plus EBITDA Margin. Selected represents the normalized inclusion-weighted Rule of 40 result.</t>
  </si>
  <si>
    <t>Trading comps / Cursor Valuation</t>
  </si>
  <si>
    <t>Applies the selected normalized trading-comp NTM revenue multiple to the $1.0B low ARR case.</t>
  </si>
  <si>
    <t>Trading comps / Deal Fact Sheet</t>
  </si>
  <si>
    <t>Applies the selected normalized trading-comp NTM revenue multiple to the $2.0B base ARR case.</t>
  </si>
  <si>
    <t>Applies the selected normalized trading-comp NTM revenue multiple to the $4.0B high ARR case. The high ARR estimate remains lower-confidence until independently verified.</t>
  </si>
  <si>
    <t>TRADING COMPARABLE COMPANIES</t>
  </si>
  <si>
    <t>SPACEX ACQUISITION OF CURSOR – STRUCTURE TEARDOWN</t>
  </si>
  <si>
    <t xml:space="preserve">TRANSACTION  STRUCTURE </t>
  </si>
  <si>
    <t xml:space="preserve"> Description</t>
  </si>
  <si>
    <t xml:space="preserve">Value </t>
  </si>
  <si>
    <t>Purchase Price</t>
  </si>
  <si>
    <t>Exchange Ratio Type</t>
  </si>
  <si>
    <t xml:space="preserve">Exchange Ratio Mechanism </t>
  </si>
  <si>
    <t>VWAP Observation Period</t>
  </si>
  <si>
    <t>Closing Share Delivery Mechanism</t>
  </si>
  <si>
    <t>Collar Present?</t>
  </si>
  <si>
    <t xml:space="preserve">Seller Price Risk </t>
  </si>
  <si>
    <t xml:space="preserve">Acquirer Price Risk </t>
  </si>
  <si>
    <t>EXCHANGE RATIO MECHANICS</t>
  </si>
  <si>
    <t>FLOATING VS FIXED EXCHANGE RATIO</t>
  </si>
  <si>
    <t>Seller Downside Protection</t>
  </si>
  <si>
    <t>Seller Upside Participation</t>
  </si>
  <si>
    <t xml:space="preserve">Typical Use Case </t>
  </si>
  <si>
    <t xml:space="preserve">SPCX – Cursor Structure </t>
  </si>
  <si>
    <t>Fixed Ratio</t>
  </si>
  <si>
    <t>Fixed Value</t>
  </si>
  <si>
    <t>Floating Value</t>
  </si>
  <si>
    <t>Floating Value with Collar</t>
  </si>
  <si>
    <t xml:space="preserve">OPTION ECONOMICS </t>
  </si>
  <si>
    <t xml:space="preserve">Option Date </t>
  </si>
  <si>
    <t xml:space="preserve">Strike Value </t>
  </si>
  <si>
    <t xml:space="preserve">Acquisition Value </t>
  </si>
  <si>
    <t xml:space="preserve">Walk Away Cost </t>
  </si>
  <si>
    <t xml:space="preserve">Effective Option Value </t>
  </si>
  <si>
    <t>Option Value As % of Deal</t>
  </si>
  <si>
    <t>BREAKUP ECONOMICS</t>
  </si>
  <si>
    <t>Breakup Fee</t>
  </si>
  <si>
    <t>Compute Commitment</t>
  </si>
  <si>
    <t>Total Walkaway Cost</t>
  </si>
  <si>
    <t>Walkaway Cost as % of Purchase Price</t>
  </si>
  <si>
    <t xml:space="preserve">DiLUTION ANALYSIS </t>
  </si>
  <si>
    <t>SPCX Equity Value</t>
  </si>
  <si>
    <t>Implied Dilution</t>
  </si>
  <si>
    <t>Shares Issued at Base VWAP</t>
  </si>
  <si>
    <t xml:space="preserve">RETENTION STRUCTURE </t>
  </si>
  <si>
    <t>Earnout Present?</t>
  </si>
  <si>
    <t>Founder Lockup</t>
  </si>
  <si>
    <t>Equity Rollover</t>
  </si>
  <si>
    <t>Employee Retention Pool</t>
  </si>
  <si>
    <t xml:space="preserve">Integration Risk Score </t>
  </si>
  <si>
    <t>STRUCTURAL CONCLUSIONS</t>
  </si>
  <si>
    <t>Seller Protected from SPCX Downside</t>
  </si>
  <si>
    <t>SPCX Shareholders Bear Dilution</t>
  </si>
  <si>
    <t>SPCX Rally Reduces Dilution</t>
  </si>
  <si>
    <t>All-stock acquisition consideration.</t>
  </si>
  <si>
    <t>All-stock</t>
  </si>
  <si>
    <t>Transaction consideration consists entirely of SPCX equity.</t>
  </si>
  <si>
    <t>Headline transaction value.</t>
  </si>
  <si>
    <t>Deal Fact Sheet</t>
  </si>
  <si>
    <t>Headline transaction value announced on 2026-06-16.</t>
  </si>
  <si>
    <t>Floating exchange ratio.</t>
  </si>
  <si>
    <t>Seller receives a fixed dollar value and a floating number of SPCX shares.</t>
  </si>
  <si>
    <t>Purchase price divided by 7-day SPCX VWAP immediately prior to closing.</t>
  </si>
  <si>
    <t>Purchase Price / VWAP</t>
  </si>
  <si>
    <t>Formula Description</t>
  </si>
  <si>
    <t>Share count adjusts automatically based on SPCX share price.</t>
  </si>
  <si>
    <t>Observation window used to calculate share issuance.</t>
  </si>
  <si>
    <t>Trading Days</t>
  </si>
  <si>
    <t>VWAP measured over the seven trading days immediately prior to close.</t>
  </si>
  <si>
    <t>SPCX Class A shares issued at close.</t>
  </si>
  <si>
    <t>SPCX Class A</t>
  </si>
  <si>
    <t>Seller receives newly issued SPCX shares at closing.</t>
  </si>
  <si>
    <t>No collar disclosed.</t>
  </si>
  <si>
    <t>No</t>
  </si>
  <si>
    <t>Boolean</t>
  </si>
  <si>
    <t>No public disclosure of minimum or maximum exchange ratio protections.</t>
  </si>
  <si>
    <t>Seller protected from SPCX price declines because share count increases automatically.</t>
  </si>
  <si>
    <t>Risk Level</t>
  </si>
  <si>
    <t>Model interpretation</t>
  </si>
  <si>
    <t>Floating value structure protects seller economics.</t>
  </si>
  <si>
    <t>SPCX shareholders bear dilution risk if SPCX trades lower before closing.</t>
  </si>
  <si>
    <t>Lower SPCX share prices require more shares to satisfy the purchase price.</t>
  </si>
  <si>
    <t>Headline purchase price.</t>
  </si>
  <si>
    <t>Scenario Analysis</t>
  </si>
  <si>
    <t>Illustrative SPCX closing VWAP scenarios.</t>
  </si>
  <si>
    <t>MM Shares</t>
  </si>
  <si>
    <t>Model calculation</t>
  </si>
  <si>
    <t>Higher dilution under downside share-price scenario.</t>
  </si>
  <si>
    <t>Moderate dilution under base scenario.</t>
  </si>
  <si>
    <t>Reduced dilution if SPCX performs strongly before close.</t>
  </si>
  <si>
    <t>Lowest dilution scenario.</t>
  </si>
  <si>
    <t>Medium</t>
  </si>
  <si>
    <t>Large strategic mergers.</t>
  </si>
  <si>
    <t>Cash acquisitions.</t>
  </si>
  <si>
    <t>Stock acquisitions.</t>
  </si>
  <si>
    <t>Mega-cap strategic acquisitions.</t>
  </si>
  <si>
    <t>Yes</t>
  </si>
  <si>
    <t>Deal Fact Sheet / press</t>
  </si>
  <si>
    <t>Deal Fact Sheet / model</t>
  </si>
  <si>
    <t>Approximate dilution implied by acquisition value divided by SPCX equity value.</t>
  </si>
  <si>
    <t>Uses the $200 VWAP scenario as the base case.</t>
  </si>
  <si>
    <t>Unknown</t>
  </si>
  <si>
    <t>Merger agreement / model interpretation</t>
  </si>
  <si>
    <t>Seller economics remain largely protected from SPCX downside volatility.</t>
  </si>
  <si>
    <t>SPCX shareholders absorb dilution if share prices decline.</t>
  </si>
  <si>
    <t>Higher SPCX prices reduce shares issued and therefore dilution.</t>
  </si>
  <si>
    <t>The April option provided substantial economic value to SpaceX.</t>
  </si>
  <si>
    <t>Absence of earnout provisions increases long-term retention risk.</t>
  </si>
  <si>
    <t>DEAL DILUTION</t>
  </si>
  <si>
    <t xml:space="preserve">SPCX Equity Value At  Announcement </t>
  </si>
  <si>
    <t xml:space="preserve">Implied Shares Issued </t>
  </si>
  <si>
    <t>Dilution %</t>
  </si>
  <si>
    <t xml:space="preserve">Ownership Retained By Legacy SPCX Holders </t>
  </si>
  <si>
    <t xml:space="preserve">PBID </t>
  </si>
  <si>
    <t>MARKET REACTION</t>
  </si>
  <si>
    <t>SPCX Close Before Announcement</t>
  </si>
  <si>
    <t>SPCX Close After Announcement</t>
  </si>
  <si>
    <t>Daily change</t>
  </si>
  <si>
    <t>Market Cap Before Announcement</t>
  </si>
  <si>
    <t>Market Cap After Announcement</t>
  </si>
  <si>
    <t xml:space="preserve">Market Cap Change </t>
  </si>
  <si>
    <t>IMPLIED VALUE CREATION</t>
  </si>
  <si>
    <t>Market Cap Increase</t>
  </si>
  <si>
    <t>Implied Net Value Creation</t>
  </si>
  <si>
    <t xml:space="preserve">Value Creation as % of Purchase Price </t>
  </si>
  <si>
    <t>SHAREHOLDER IMPACT</t>
  </si>
  <si>
    <t>Ownership Dilution</t>
  </si>
  <si>
    <t>Economic Dilution</t>
  </si>
  <si>
    <t xml:space="preserve">Net Shareholder Outcome </t>
  </si>
  <si>
    <t>CONCLUSION</t>
  </si>
  <si>
    <t>Deal was Ownership dilutive</t>
  </si>
  <si>
    <t>Market reaction offset dilution</t>
  </si>
  <si>
    <t>Headline acquisition value.</t>
  </si>
  <si>
    <t>Announcement-day SPCX market capitalization.</t>
  </si>
  <si>
    <t>Illustrative shares issued using announcement share price.</t>
  </si>
  <si>
    <t>Purchase price divided by SPCX market capitalization.</t>
  </si>
  <si>
    <t>Ownership retained by legacy SPCX shareholders.</t>
  </si>
  <si>
    <t>SPCX closing price immediately before announcement.</t>
  </si>
  <si>
    <t>SPCX closing price immediately after announcement.</t>
  </si>
  <si>
    <t>Announcement-day stock price reaction.</t>
  </si>
  <si>
    <t>SPCX market capitalization immediately before announcement.</t>
  </si>
  <si>
    <t>SPCX market capitalization immediately after announcement.</t>
  </si>
  <si>
    <t>Announcement-day market capitalization increase.</t>
  </si>
  <si>
    <t>Market capitalization increase attributable to market reaction.</t>
  </si>
  <si>
    <t>Acquisition purchase price.</t>
  </si>
  <si>
    <t>Market capitalization increase minus transaction value.</t>
  </si>
  <si>
    <t>Net value creation relative to purchase price.</t>
  </si>
  <si>
    <t>Mechanical ownership dilution.</t>
  </si>
  <si>
    <t>Ownership dilution adjusted for market-implied value creation.</t>
  </si>
  <si>
    <t>Value created or destroyed according to market reaction.</t>
  </si>
  <si>
    <t>Overall shareholder outcome.</t>
  </si>
  <si>
    <t>The transaction is mechanically dilutive.</t>
  </si>
  <si>
    <t>Positive market reaction offsets some or all dilution.</t>
  </si>
  <si>
    <t>Market viewed the acquisition positively.</t>
  </si>
  <si>
    <t>Market capitalization increase exceeded purchase price.</t>
  </si>
  <si>
    <t>{"Deal Fact Sheet ":{"MATCHPBID|^SpaceX ":{"r":[["46488-07"]]},"MATCHPBID|^spcx":{"r":[["46488-07"]]},"MATCHPBID|^Anysphere":{"r":[["519419-89"]]},"MATCHPBID|^Cursor":{"r":[["519419-89"]]},"MATCHPBID|^SPCX":{"r":[["46488-07"]]},"MATCHPBID|^Announced/ Pending Close":{"r":[["#NOMATCH"]]},"MATCHPBID|^Floating Value/ VWAP– Set Ratio":{"r":[["#NOMATCH"]]},"MATCHPBID|^60":{"r":[["233709-40"]]},"MATCHPBID|^All Stock ":{"r":[["169307-83"]]},"MATCHPBID|^Q3 2026":{"r":[["#NOMATCH"]]},"MATCHPBID|^46133":{"r":[["#NOMATCH"]]},"MATCHPBID|^10":{"r":[["60318-10"]]},"MATCHPBID|^SPCX Class A Shares ":{"r":[["#NOMATCH"]]},"MATCHPBID|^Non–Disclosed/TBD":{"r":[["#NOMATCH"]]},"MATCHPBID|^1.5":{"r":[["519212-80"]]},"MATCHPBID|^8.5":{"r":[["150705-10"]]},"MATCHPBID|^7 Trading days Before the Close ":{"r":[["#NOMATCH"]]},"MATCHPBID|^TBD per Filing":{"r":[["#NOMATCH"]]},"D|^287345-62TDeal DateUSD":{"r":[[45813]],"a":["'Deal Fact Sheet '!C38"],"c":[["dd-mmm-yy"]]},"D|^287345-62TDeal AmountUSD":{"r":[[899998983]],"a":["'Deal Fact Sheet '!C39"]},"D|^/1000000000287345-62TDeal AmountUSD":{"r":[[0.899998983]],"a":["'Deal Fact Sheet '!C39"]},"D|^/1000000287345-62TDeal AmountUSD":{"r":[[899.998983]],"a":["'Deal Fact Sheet '!C39"]},"D|^/1000000287345-62TDeal Post ValuationUSD":{"r":[[9900.000048]],"a":["'Deal Fact Sheet '!C40"]},"D|^/1000000000287345-62TDeal Post ValuationUSD":{"r":[[9.900000048]],"a":["'Deal Fact Sheet '!C40"]},"D|^/1000000000identifierDeal DateUSD":{"id":47,"description":null,"headerValues":[],"financialValues":[],"customValues":[],"error":"PBXLP_ENTITY_ID"},"D|^/1000000000312975-01TDeal DateUSD":{"r":[[45974]],"c":[["dd-mmm-yy"]],"a":["'Deal Fact Sheet '!C41","'Deal Fact Sheet '!C42"]},"D|^/1000000000312975-01TDeal AmountUSD":{"r":[[2.300000297]],"a":["'Deal Fact Sheet '!C42"]},"D|^/10000000287345-62TDeal AmountUSD":{"r":[[89.9998983]],"a":["'Deal Fact Sheet '!C39"]},"D|^/1000000000312975-01TDeal Post ValuationUSD":{"r":[[29.300000333]],"a":["'Deal Fact Sheet '!C43"]},"D|^/1000000000519419-89Last Known Valuation Deal TypeUSD":{"r":[["Later Stage VC"]],"a":["'Deal Fact Sheet '!C44"]},"M|^46488-07Close Price06/16/202606/16/2026dasc0USD":{"r":[[201.8]],"c":[[]],"a":["'Deal Fact Sheet '!B69","'Deal Fact Sheet '!C69","'Deal Fact Sheet '!C70"]},"M|^46488-07Close Price06/15/202606/15/2026dasc0USD":{"r":[[192.5]],"c":[[]],"a":["'Deal Fact Sheet '!B69","'Deal Fact Sheet '!C70"]},"M|^519419-89Close Price06/16/202606/16/2026dasc0USD":{"id":7,"description":null,"headerValues":[],"financialValues":[],"customValues":[],"error":null},"M|^/100000000046488-07Market Cap06/16/202606/16/2026dasc0USD":{"r":[[2658.550996736]],"c":[[]],"a":["'Deal Fact Sheet '!C71"]},"D|^/1000000000519419-89Most Recent Post ValuationUSD":{"r":[[60]],"a":["'Deal Fact Sheet '!C72"]}},"Comps ":{"MATCHPBID|^GitLab":{"r":[["84804-13"]]},"MATCHPBID|^Atlassian":{"r":[["45245-62"]]},"MATCHPBID|^Datadog":{"r":[["53904-79"]]},"MATCHPBID|^Snowflake":{"r":[["61489-18"]]},"MATCHPBID|^Confluent":{"r":[["99264-61"]]},"MATCHPBID|^HashiCorp":{"r":[["59113-45"]]},"MATCHPBID|^Elastic":{"r":[["55574-02"]]},"MATCHPBID|^GitHub":{"r":[["54525-52"]]},"MATCHPBID|^MongoDB":{"r":[["51351-85"]]},"MATCHPBID|^Cloudflare":{"r":[["52368-49"]]},"MATCHSYMBOL|^GitLab":{"r":[["NAS:GTLB"]]},"MATCHSYMBOL|^Snowflake":{"r":[["NYS:SNOW"]]},"MATCHSYMBOL|^MongoDB":{"r":[["NAS:MDB"]]},"MATCHSYMBOL|^Elastic":{"r":[["NYS:ESTC"]]},"MATCHSYMBOL|^GitHub":{"r":[["#NOMATCH"]]},"MATCHSYMBOL|^Atlassian":{"r":[["NAS:TEAM"]]},"MATCHSYMBOL|^HashiCorp":{"r":[["#NOMATCH"]]},"MATCHSYMBOL|^Datadog":{"r":[["NAS:DDOG"]]},"MATCHSYMBOL|^Cloudflare":{"r":[["NYS:NET"]]},"MATCHSYMBOL|^Confluent":{"r":[["#NOMATCH"]]},"MATCHSYMBOL|^99264-61":{"r":[["#NOMATCH"]]},"M|^/100000000084804-13Market Cap07/12/202607/12/2026dasc0USD":{"r":[[5.475738]],"c":[[]],"a":["'Comps '!D5"]},"M|^/100000000061489-18Market Cap07/12/202607/12/2026dasc0USD":{"r":[[90.61857]],"c":[[]],"a":["'Comps '!D10"]},"M|^/100000000055574-02Market Cap07/12/202607/12/2026dasc0USD":{"r":[[6.262046372]],"c":[[]],"a":["'Comps '!D11"]},"M|^/100000000045245-62Market Cap07/12/202607/12/2026dasc0USD":{"r":[[22.549812218]],"c":[[]],"a":["'Comps '!D6"]},"M|^/100000000053904-79Market Cap07/12/202607/12/2026dasc0USD":{"r":[[91.673987075]],"c":[[]],"a":["'Comps '!D7"]},"M|^/100000000052368-49Market Cap07/12/202607/12/2026dasc0USD":{"r":[[95.265778978]],"c":[[]],"a":["'Comps '!D8"]},"M|^/100000000051351-85Market Cap07/12/202607/12/2026dasc0USD":{"r":[[27.514153588]],"c":[[]],"a":["'Comps '!D9"]},"M|^/100000000059113-45Market Cap07/12/202607/12/2026dasc0USD":{"id":50,"description":null,"headerValues":[],"financialValues":[],"customValues":[],"error":null},"M|^/100000000099264-61Market Cap07/12/202607/12/2026dasc0USD":{"id":45,"description":null,"headerValues":[],"financialValues":[],"customValues":[],"error":null},"M|^/100000000054525-52Market Cap07/12/202607/12/2026dasc0USD":{"id":47,"description":null,"headerValues":[],"financialValues":[],"customValues":[],"error":null},"F|^84804-13EVNTM07/12/2026USD":{"r":[[4164455000]],"c":null,"a":["'Comps '!E5"]},"F|^53904-79EVNTM07/12/2026USD":{"r":[[88200422075]],"c":null,"a":["'Comps '!E7"]},"F|^54525-52EVNTM07/12/2026USD":{"id":59,"description":null,"headerValues":[],"financialValues":[],"customValues":[],"error":null},"F|^52368-49EVNTM07/12/2026USD":{"r":[[94626436978]],"c":null,"a":["'Comps '!E8"]},"F|^55574-02EVNTM07/12/2026USD":{"r":[[5483347372]],"c":null,"a":["'Comps '!E11"]},"F|^45245-62EVNTM07/12/2026USD":{"r":[[22656488218]],"c":null,"a":["'Comps '!E6"]},"F|^51351-85EVNTM07/12/2026USD":{"r":[[25117427588]],"c":null,"a":["'Comps '!E9"]},"F|^61489-18EVNTM07/12/2026USD":{"r":[[90435667000]],"c":null,"a":["'Comps '!E10"]},"F|^99264-61EVNTM07/12/2026USD":{"id":57,"description":null,"headerValues":[],"financialValues":[],"customValues":[],"error":null},"F|^59113-45EVNTM07/12/2026USD":{"id":58,"description":null,"headerValues":[],"financialValues":[],"customValues":[],"error":null},"F|^84804-13Total RevenueNTM07/12/2026USD":{"r":[[1004873000]],"c":null,"a":["'Comps '!F5"]},"F|^53904-79Total RevenueNTM07/12/2026USD":{"r":[[3672031000]],"c":null,"a":["'Comps '!F7"]},"F|^54525-52Total RevenueNTM07/12/2026USD":{"id":67,"description":null,"headerValues":[],"financialValues":[],"customValues":[],"error":null},"F|^59113-45Total RevenueNTM07/12/2026USD":{"id":69,"description":null,"headerValues":[],"financialValues":[],"customValues":[],"error":null},"F|^52368-49Total RevenueNTM07/12/2026USD":{"r":[[2328605000]],"c":null,"a":["'Comps '!F8"]},"F|^55574-02Total RevenueNTM07/12/2026USD":{"r":[[1739331000]],"c":null,"a":["'Comps '!F11"]},"F|^45245-62Total RevenueNTM07/12/2026USD":{"r":[[6190183000]],"c":null,"a":["'Comps '!F6"]},"F|^51351-85Total RevenueNTM07/12/2026USD":{"r":[[2602399000]],"c":null,"a":["'Comps '!F9"]},"F|^61489-18Total RevenueNTM07/12/2026USD":{"r":[[5032823000]],"c":null,"a":["'Comps '!F10"]},"F|^99264-61Total RevenueNTM07/12/2026USD":{"r":[[1166748000]],"c":null,"a":["'Comps '!F12"]},"D|^84804-13Revenue % GrowthUSD":{"id":71,"description":null,"headerValues":[{"simpleDate":null,"value":"PBXLP_WRONG_INPUT","description":null}],"financialValues":[],"customValues":[],"error":null},"F|^84804-13Revenue % GrowthNTM07/12/2026USD":{"r":[[0.24895503317917256]],"c":null,"a":["'Comps '!G5"]},"F|^53904-79Revenue % GrowthNTM07/12/2026USD":{"r":[[0.29544323223058133]],"c":null,"a":["'Comps '!G7"]},"F|^54525-52Revenue % GrowthNTM07/12/2026USD":{"id":8,"description":null,"headerValues":[],"financialValues":[],"customValues":[],"error":null},"F|^59113-45Revenue % GrowthNTM07/12/2026USD":{"id":10,"description":null,"headerValues":[],"financialValues":[],"customValues":[],"error":null},"F|^52368-49Revenue % GrowthNTM07/12/2026USD":{"r":[[0.3155135468905623]],"c":null,"a":["'Comps '!G8"]},"F|^55574-02Revenue % GrowthNTM07/12/2026USD":{"r":[[0.17261220956572387]],"c":null,"a":["'Comps '!G11"]},"F|^45245-62Revenue % GrowthNTM07/12/2026USD":{"r":[[0.24737947224713097]],"c":null,"a":["'Comps '!G6"]},"F|^51351-85Revenue % GrowthNTM07/12/2026USD":{"r":[[0.23635514533734692]],"c":null,"a":["'Comps '!G9"]},"F|^61489-18Revenue % GrowthNTM07/12/2026USD":{"r":[[0.3107125677874223]],"c":null,"a":["'Comps '!G10"]},"F|^99264-61Revenue % GrowthNTM07/12/2026USD":{"r":[[0.2107691445578337]],"c":null,"a":["'Comps '!G12"]},"F|^84804-13EV to RevenueNTM07/12/2026USD":{"r":[[4.1442600209180664]],"c":null,"a":["'Comps '!H5"]},"F|^53904-79EV to RevenueNTM07/12/2026USD":{"r":[[24.019520008137185]],"c":null,"a":["'Comps '!H7"]},"F|^54525-52EV to RevenueNTM07/12/2026USD":{"id":15,"description":null,"headerValues":[],"financialValues":[],"customValues":[],"error":null},"F|^52368-49EV to RevenueNTM07/12/2026USD":{"r":[[40.63653431045626]],"c":null,"a":["'Comps '!H8"]},"F|^55574-02EV to RevenueNTM07/12/2026USD":{"r":[[3.1525611697830946]],"c":null,"a":["'Comps '!H11"]},"F|^45245-62EV to RevenueNTM07/12/2026USD":{"r":[[3.6600675970322687]],"c":null,"a":["'Comps '!H6"]},"F|^51351-85EV to RevenueNTM07/12/2026USD":{"r":[[9.65164357502443]],"c":null,"a":["'Comps '!H9"]},"F|^61489-18EV to RevenueNTM07/12/2026USD":{"r":[[17.96917296713991]],"c":null,"a":["'Comps '!H10"]},"F|^59113-45EV to RevenueNTM07/12/2026USD":{"id":16,"description":null,"headerValues":[],"financialValues":[],"customValues":[],"error":null},"F|^99264-61EV to RevenueNTM07/12/2026USD":{"id":18,"description":null,"headerValues":[],"financialValues":[],"customValues":[],"error":null},"F|^84804-13EBITDA MarginNTM07/12/2026USD":{"r":[[-0.052350894093084396]],"c":null,"a":["'Comps '!I5"]},"F|^53904-79EBITDA MarginNTM07/12/2026USD":{"r":[[0.009705800413994325]],"c":null,"a":["'Comps '!I7"]},"F|^54525-52EBITDA MarginNTM07/12/2026USD":{"id":29,"description":null,"headerValues":[],"financialValues":[],"customValues":[],"error":null},"F|^59113-45EBITDA MarginNTM07/12/2026USD":{"id":31,"description":null,"headerValues":[],"financialValues":[],"customValues":[],"error":null},"F|^52368-49EBITDA MarginNTM07/12/2026USD":{"r":[[-0.005195814661567762]],"c":null,"a":["'Comps '!I8"]},"F|^55574-02EBITDA MarginNTM07/12/2026USD":{"r":[[0.01993582590087798]],"c":null,"a":["'Comps '!I11"]},"F|^45245-62EBITDA MarginNTM07/12/2026USD":{"r":[[-0.018099949549149032]],"c":null,"a":["'Comps '!I6"]},"F|^51351-85EBITDA MarginNTM07/12/2026USD":{"r":[[-0.022158400767906844]],"c":null,"a":["'Comps '!I9"]},"F|^61489-18EBITDA MarginNTM07/12/2026USD":{"r":[[-0.22161200582655102]],"c":null,"a":["'Comps '!I10"]},"F|^99264-61EBITDA MarginNTM07/12/2026USD":{"r":[[-0.2323826567519293]],"c":null,"a":["'Comps '!I12"]},"M|^/100000000084804-13Market Cap06/16/202606/16/2026dasc0USD":{"r":[[4.697109]],"c":[[]],"a":["'Comps '!D5"]},"M|^/100000000051351-85Market Cap06/16/202606/16/2026dasc0USD":{"r":[[28.055460457]],"c":[[]],"a":["'Comps '!D9"]},"M|^/100000000052368-49Market Cap06/16/202606/16/2026dasc0USD":{"r":[[81.980391097]],"c":[[]],"a":["'Comps '!D8"]},"M|^/100000000061489-18Market Cap06/16/202606/16/2026dasc0USD":{"r":[[82.601712]],"c":[[]],"a":["'Comps '!D10"]},"M|^/100000000053904-79Market Cap06/16/202606/16/2026dasc0USD":{"r":[[82.26595928]],"c":[[]],"a":["'Comps '!D7"]},"M|^/100000000045245-62Market Cap06/16/202606/16/2026dasc0USD":{"r":[[22.318883463]],"c":[[]],"a":["'Comps '!D6"]},"M|^/100000000055574-02Market Cap06/16/202606/16/2026dasc0USD":{"r":[[6.24853266]],"c":[[]],"a":["'Comps '!D11"]},"M|^/100000000099264-61Market Cap06/16/202606/16/2026dasc0USD":{"id":36,"description":null,"headerValues":[],"financialValues":[],"customValues":[],"error":null},"M|^/100000000054525-52Market Cap06/16/202606/16/2026dasc0USD":{"id":39,"description":null,"headerValues":[],"financialValues":[],"customValues":[],"error":null},"M|^/100000000059113-45Market Cap06/16/202606/16/2026dasc0USD":{"id":40,"description":null,"headerValues":[],"financialValues":[],"customValues":[],"error":null},"F|^84804-13EVNTM06/16/2026USD":{"r":[[3385826000]],"c":null,"a":["'Comps '!E5"]},"F|^53904-79EVNTM06/16/2026USD":{"r":[[78792394280]],"c":null,"a":["'Comps '!E7"]},"F|^54525-52EVNTM06/16/2026USD":{"id":48,"description":null,"headerValues":[],"financialValues":[],"customValues":[],"error":null},"F|^52368-49EVNTM06/16/2026USD":{"r":[[81341049097]],"c":null,"a":["'Comps '!E8"]},"F|^55574-02EVNTM06/16/2026USD":{"r":[[5469833660]],"c":null,"a":["'Comps '!E11"]},"F|^45245-62EVNTM06/16/2026USD":{"r":[[22425559463]],"c":null,"a":["'Comps '!E6"]},"F|^51351-85EVNTM06/16/2026USD":{"r":[[25658734457]],"c":null,"a":["'Comps '!E9"]},"F|^61489-18EVNTM06/16/2026USD":{"r":[[82418809000]],"c":null,"a":["'Comps '!E10"]},"F|^59113-45EVNTM06/16/2026USD":{"id":49,"description":null,"headerValues":[],"financialValues":[],"customValues":[],"error":null},"F|^99264-61EVNTM06/16/2026USD":{"id":47,"description":null,"headerValues":[],"financialValues":[],"customValues":[],"error":null},"F|^84804-13Total RevenueNTM06/16/2026USD":{"r":[[1004873000]],"c":null,"a":["'Comps '!F5"]},"F|^53904-79Total RevenueNTM06/16/2026USD":{"r":[[3672031000]],"c":null,"a":["'Comps '!F7"]},"F|^54525-52Total RevenueNTM06/16/2026USD":{"id":58,"description":null,"headerValues":[],"financialValues":[],"customValues":[],"error":null},"F|^59113-45Total RevenueNTM06/16/2026USD":{"id":62,"description":null,"headerValues":[],"financialValues":[],"customValues":[],"error":null},"F|^52368-49Total RevenueNTM06/16/2026USD":{"r":[[2328605000]],"c":null,"a":["'Comps '!F8"]},"F|^55574-02Total RevenueNTM06/16/2026USD":{"r":[[1739331000]],"c":null,"a":["'Comps '!F11"]},"F|^45245-62Total RevenueNTM06/16/2026USD":{"r":[[6190183000]],"c":null,"a":["'Comps '!F6"]},"F|^51351-85Total RevenueNTM06/16/2026USD":{"r":[[2602399000]],"c":null,"a":["'Comps '!F9"]},"F|^61489-18Total RevenueNTM06/16/2026USD":{"r":[[5032823000]],"c":null,"a":["'Comps '!F10"]},"F|^99264-61Total RevenueNTM06/16/2026USD":{"r":[[1166748000]],"c":null,"a":["'Comps '!F12"]},"F|^84804-13Revenue % GrowthNTM06/16/2026USD":{"r":[[0.24895503317917256]],"c":null,"a":["'Comps '!G5"]},"F|^53904-79Revenue % GrowthNTM06/16/2026USD":{"r":[[0.29544323223058133]],"c":null,"a":["'Comps '!G7"]},"F|^54525-52Revenue % GrowthNTM06/16/2026USD":{"id":69,"description":null,"headerValues":[],"financialValues":[],"customValues":[],"error":null},"F|^59113-45Revenue % GrowthNTM06/16/2026USD":{"id":71,"description":null,"headerValues":[],"financialValues":[],"customValues":[],"error":null},"F|^52368-49Revenue % GrowthNTM06/16/2026USD":{"r":[[0.3155135468905623]],"c":null,"a":["'Comps '!G8"]},"F|^55574-02Revenue % GrowthNTM06/16/2026USD":{"r":[[0.17261220956572387]],"c":null,"a":["'Comps '!G11"]},"F|^45245-62Revenue % GrowthNTM06/16/2026USD":{"r":[[0.24737947224713097]],"c":null,"a":["'Comps '!G6"]},"F|^51351-85Revenue % GrowthNTM06/16/2026USD":{"r":[[0.23635514533734692]],"c":null,"a":["'Comps '!G9"]},"F|^61489-18Revenue % GrowthNTM06/16/2026USD":{"r":[[0.3107125677874223]],"c":null,"a":["'Comps '!G10"]},"F|^99264-61Revenue % GrowthNTM06/16/2026USD":{"r":[[0.2107691445578337]],"c":null,"a":["'Comps '!G12"]},"F|^84804-13EV to RevenueNTM06/16/2026USD":{"r":[[3.3694068802724324]],"c":null,"a":["'Comps '!H5"]},"F|^53904-79EV to RevenueNTM06/16/2026USD":{"r":[[21.45744256516353]],"c":null,"a":["'Comps '!H7"]},"F|^54525-52EV to RevenueNTM06/16/2026USD":{"id":80,"description":null,"headerValues":[],"financialValues":[],"customValues":[],"error":null},"F|^52368-49EV to RevenueNTM06/16/2026USD":{"r":[[34.931235266178675]],"c":null,"a":["'Comps '!H8"]},"F|^55574-02EV to RevenueNTM06/16/2026USD":{"r":[[3.144791681399343]],"c":null,"a":["'Comps '!H11"]},"F|^45245-62EV to RevenueNTM06/16/2026USD":{"r":[[3.6227619543719465]],"c":null,"a":["'Comps '!H6"]},"F|^51351-85EV to RevenueNTM06/16/2026USD":{"r":[[9.859646601846988]],"c":null,"a":["'Comps '!H9"]},"F|^61489-18EV to RevenueNTM06/16/2026USD":{"r":[[16.376258215319712]],"c":null,"a":["'Comps '!H10"]},"F|^99264-61EV to RevenueNTM06/16/2026USD":{"id":84,"description":null,"headerValues":[],"financialValues":[],"customValues":[],"error":null},"F|^59113-45EV to RevenueNTM06/16/2026USD":{"id":85,"description":null,"headerValues":[],"financialValues":[],"customValues":[],"error":null},"F|^84804-13EBITDA MarginNTM06/16/2026USD":{"r":[[-0.052350894093084396]],"c":null,"a":["'Comps '!I5"]},"F|^53904-79EBITDA MarginNTM06/16/2026USD":{"r":[[0.009705800413994325]],"c":null,"a":["'Comps '!I7"]},"F|^54525-52EBITDA MarginNTM06/16/2026USD":{"id":93,"description":null,"headerValues":[],"financialValues":[],"customValues":[],"error":null},"F|^59113-45EBITDA MarginNTM06/16/2026USD":{"id":91,"description":null,"headerValues":[],"financialValues":[],"customValues":[],"error":null},"F|^52368-49EBITDA MarginNTM06/16/2026USD":{"r":[[-0.005195814661567762]],"c":null,"a":["'Comps '!I8"]},"F|^55574-02EBITDA MarginNTM06/16/2026USD":{"r":[[0.01993582590087798]],"c":null,"a":["'Comps '!I11"]},"F|^45245-62EBITDA MarginNTM06/16/2026USD":{"r":[[-0.018099949549149032]],"c":null,"a":["'Comps '!I6"]},"F|^51351-85EBITDA MarginNTM06/16/2026USD":{"r":[[-0.022158400767906844]],"c":null,"a":["'Comps '!I9"]},"F|^61489-18EBITDA MarginNTM06/16/2026USD":{"r":[[-0.22161200582655102]],"c":null,"a":["'Comps '!I10"]},"F|^99264-61EBITDA MarginNTM06/16/2026USD":{"r":[[-0.2323826567519293]],"c":null,"a":["'Comps '!I12"]}},"Dilution Market":{"M|^/100000000046488-07Market Cap06/16/202606/16/2026dasc0USD":{"r":[[2658.550996736]],"c":[[]],"a":["'Dilution Market'!C6","'Dilution Market'!C13","'Dilution Market'!C16"]},"M|^/100000000046488-07Market Capdasc0USD":{"r":[[1914.209414399]],"c":[[]],"a":["'Dilution Market'!C6"]},"M|^/100000000046488-07Market Cap06/15/202606/16/2026dasc0USD":{"r":[[2536.031054865],[2658.550996736]],"c":[[]],"a":["'Dilution Market'!C6"]},"M|^/100000000046488-07Market Cap06/15/202606/15/2026dasc0USD":{"r":[[2536.031054865]],"c":[[]],"a":["'Dilution Market'!C6","'Dilution Market'!C12","'Dilution Market'!C15"]},"MATCHPBID|^SPCX":{"r":[["46488-07"]]},"MATCHPBID|^Anysphere":{"r":[["519419-89"]]},"MATCHPBID|^Cursor":{"r":[["519419-89"]]},"MATCHPBID|^Announced / Pending Close":{"r":[["#NOMATCH"]]},"MATCHPBID|^All Stock ":{"r":[["169307-83"]]},"MATCHPBID|^SPCX Class A Shares ":{"r":[["#NOMATCH"]]},"MATCHPBID|^Floating Value/ VWAP– Set Ratio":{"r":[["#NOMATCH"]]},"MATCHPBID|^60":{"r":[["233709-40"]]},"M|^46488-07Close Price06/15/202606/15/2026dasc0USD":{"r":[[192.5]],"c":[[]],"a":["'Dilution Market'!C12"]},"M|^46488-07Close Price06/16/202606/16/2026dasc0USD":{"r":[[201.8]],"c":[[]],"a":["'Dilution Market'!C13"]}}}</t>
  </si>
  <si>
    <t>SPACEX ACQUISITION OF CURSOR – STRATEGIES SYNERGIES</t>
  </si>
  <si>
    <t>Synergy/Risk Item</t>
  </si>
  <si>
    <t>Category</t>
  </si>
  <si>
    <t>Mechanism</t>
  </si>
  <si>
    <t>Financial Driver</t>
  </si>
  <si>
    <t>Timing</t>
  </si>
  <si>
    <t>Quantifiable</t>
  </si>
  <si>
    <t xml:space="preserve">STRATEGIC RATIONALE </t>
  </si>
  <si>
    <t xml:space="preserve">AI Coding Product Acquisition </t>
  </si>
  <si>
    <t>Developer Distribution</t>
  </si>
  <si>
    <t>xAI Product Gap</t>
  </si>
  <si>
    <t>Model and Compute Integration</t>
  </si>
  <si>
    <t>Enterprise Ai Platform</t>
  </si>
  <si>
    <t>Talent Acquistion</t>
  </si>
  <si>
    <t>Startegic Control</t>
  </si>
  <si>
    <t>Competitive Defense</t>
  </si>
  <si>
    <t>REVENUE SYNERGIES</t>
  </si>
  <si>
    <t>Cursor User Growth</t>
  </si>
  <si>
    <t>Enterprise Cross-Sell</t>
  </si>
  <si>
    <t>xAi Model Upsell</t>
  </si>
  <si>
    <t>Bundled Enterprise Offering</t>
  </si>
  <si>
    <t>International Expansion</t>
  </si>
  <si>
    <t>Government/Defense Coding</t>
  </si>
  <si>
    <t>Developer Ecosystem Monetization</t>
  </si>
  <si>
    <t>REVENUE SYNERGY FRAMEWORK</t>
  </si>
  <si>
    <t xml:space="preserve">REVENUE SYNERGY </t>
  </si>
  <si>
    <t xml:space="preserve">Addressable Base </t>
  </si>
  <si>
    <t xml:space="preserve">Adoption/Attch Rate </t>
  </si>
  <si>
    <t xml:space="preserve">Incremental Revenue Per Unit </t>
  </si>
  <si>
    <t>Annual Gross Revenue Synergy ($B)</t>
  </si>
  <si>
    <t xml:space="preserve">Probability </t>
  </si>
  <si>
    <t>Probability Weighted Revenue</t>
  </si>
  <si>
    <t xml:space="preserve">Enterprise Cross Sell </t>
  </si>
  <si>
    <t>Premium xAi Model Upsell</t>
  </si>
  <si>
    <t>International Exapansion</t>
  </si>
  <si>
    <t xml:space="preserve">Government/Defense Offering </t>
  </si>
  <si>
    <t xml:space="preserve">COST AND MARGIN SYNERGIES </t>
  </si>
  <si>
    <t>Model API Cost Reduction</t>
  </si>
  <si>
    <t>Colossus Compute Utilization</t>
  </si>
  <si>
    <t xml:space="preserve">Vendor Negotiation Leverage </t>
  </si>
  <si>
    <t xml:space="preserve">Shared R&amp;D Infrastructure </t>
  </si>
  <si>
    <t xml:space="preserve">Shared Sales Infrastructure </t>
  </si>
  <si>
    <t xml:space="preserve">Shared Coporate Function </t>
  </si>
  <si>
    <t xml:space="preserve">Reduced Customer Acquisition Cost </t>
  </si>
  <si>
    <t xml:space="preserve">Reduced Standalone Funding Need </t>
  </si>
  <si>
    <t>QUANTIFIED SYNERGY FRAMEWORK</t>
  </si>
  <si>
    <t xml:space="preserve">COST SYNERGY FRAMEWORK </t>
  </si>
  <si>
    <t xml:space="preserve">Cost Synergy  </t>
  </si>
  <si>
    <t>Adressable Cost Base ($B)</t>
  </si>
  <si>
    <t xml:space="preserve">Savings Rate </t>
  </si>
  <si>
    <t>Annual Gross Savings ($B)</t>
  </si>
  <si>
    <t>Ramp Year</t>
  </si>
  <si>
    <t>Probability Weighted Savings ($B)</t>
  </si>
  <si>
    <t xml:space="preserve">Compute Infrastructure Savings </t>
  </si>
  <si>
    <t xml:space="preserve">Vendor Negotiation Savings </t>
  </si>
  <si>
    <t xml:space="preserve">Shared R&amp;D/ Corporate Opex </t>
  </si>
  <si>
    <t xml:space="preserve">Sales and Distribution Effieciency </t>
  </si>
  <si>
    <t xml:space="preserve">INTEGRATION COSTS AND DIS – SYNERGIES </t>
  </si>
  <si>
    <t xml:space="preserve">Founder departure </t>
  </si>
  <si>
    <t>Key Employee Attrition</t>
  </si>
  <si>
    <t xml:space="preserve">Loss of Model Neutrality </t>
  </si>
  <si>
    <t xml:space="preserve">Anthropic/ Open AI Relationship Risk </t>
  </si>
  <si>
    <t xml:space="preserve">Enterprise Customer Churn </t>
  </si>
  <si>
    <t>Integration Distraction</t>
  </si>
  <si>
    <t>Cultural Integration</t>
  </si>
  <si>
    <t>Data Security/Trust</t>
  </si>
  <si>
    <t xml:space="preserve">Third–Party Model Cost Persistence </t>
  </si>
  <si>
    <t xml:space="preserve">NET SYNERGY VALUE FRAMEWORK </t>
  </si>
  <si>
    <t xml:space="preserve">METRIC </t>
  </si>
  <si>
    <t>YEAR 1</t>
  </si>
  <si>
    <t>YEAR 2</t>
  </si>
  <si>
    <t>YEAR 3</t>
  </si>
  <si>
    <t>YEAR 4</t>
  </si>
  <si>
    <t>YEAR 5</t>
  </si>
  <si>
    <t xml:space="preserve">Terminal /Total </t>
  </si>
  <si>
    <t xml:space="preserve">Revenue Synergies </t>
  </si>
  <si>
    <t xml:space="preserve">Revenue Synergy Gross Profit </t>
  </si>
  <si>
    <t xml:space="preserve">Cost Synergy </t>
  </si>
  <si>
    <t xml:space="preserve">Integration Cost </t>
  </si>
  <si>
    <t xml:space="preserve">Net Annual Synergy </t>
  </si>
  <si>
    <t xml:space="preserve">Discount Factor </t>
  </si>
  <si>
    <t>Present Value of Net Synergy</t>
  </si>
  <si>
    <t xml:space="preserve">SYNEREGY SCORECARD </t>
  </si>
  <si>
    <t xml:space="preserve">Synergy/Risk </t>
  </si>
  <si>
    <t xml:space="preserve">Strategic Importance </t>
  </si>
  <si>
    <t>Financial Impact</t>
  </si>
  <si>
    <t>Execution Difficulty</t>
  </si>
  <si>
    <t>Time to Realize</t>
  </si>
  <si>
    <t xml:space="preserve">Evidence Quality </t>
  </si>
  <si>
    <t xml:space="preserve">Overall Score </t>
  </si>
  <si>
    <t xml:space="preserve">Conclusion </t>
  </si>
  <si>
    <t>Ai Coding Prooduct Acquisition</t>
  </si>
  <si>
    <t>Model / Compute Cost Reduction</t>
  </si>
  <si>
    <t>Enterprise Cross Sell</t>
  </si>
  <si>
    <t>Talent Acquisition</t>
  </si>
  <si>
    <t>Model Neutrality Risk</t>
  </si>
  <si>
    <t>Founder/Employee Retention Risk</t>
  </si>
  <si>
    <t>Product</t>
  </si>
  <si>
    <t>Acquire an established AI coding product instead of building the full product and user base internally.</t>
  </si>
  <si>
    <t>Time to market / avoided development cost</t>
  </si>
  <si>
    <t>Near term</t>
  </si>
  <si>
    <t>Partial</t>
  </si>
  <si>
    <t>Revenue / Distribution</t>
  </si>
  <si>
    <t>Gain direct access to Cursor’s developer users and enterprise engineering teams.</t>
  </si>
  <si>
    <t>User growth / enterprise revenue</t>
  </si>
  <si>
    <t>Use Cursor to accelerate xAI’s position in AI-assisted software development and address a product capability gap.</t>
  </si>
  <si>
    <t>Product adoption / revenue growth</t>
  </si>
  <si>
    <t>Medium term</t>
  </si>
  <si>
    <t>Technology / Margin</t>
  </si>
  <si>
    <t>Integrate Cursor with xAI models and internal compute infrastructure to improve model economics and product performance.</t>
  </si>
  <si>
    <t>Gross margin / product quality</t>
  </si>
  <si>
    <t>Revenue</t>
  </si>
  <si>
    <t>Use Cursor as an enterprise distribution channel for xAI models, APIs, compute, and related software products.</t>
  </si>
  <si>
    <t>Cross-sell revenue / customer penetration</t>
  </si>
  <si>
    <t>Talent</t>
  </si>
  <si>
    <t>Acquire Cursor’s founders, researchers, product engineers, and developer-tools expertise.</t>
  </si>
  <si>
    <t>R&amp;D productivity / product execution</t>
  </si>
  <si>
    <t>Strategy</t>
  </si>
  <si>
    <t>Obtain control over Cursor’s product roadmap, customer interface, and model-selection strategy.</t>
  </si>
  <si>
    <t>Strategic control / avoided dependency</t>
  </si>
  <si>
    <t>Prevent a competing model provider, hyperscaler, or strategic buyer from acquiring Cursor.</t>
  </si>
  <si>
    <t>Avoided competitive loss</t>
  </si>
  <si>
    <t>Use SpaceX and xAI brand, distribution, capital, and product resources to accelerate Cursor user acquisition.</t>
  </si>
  <si>
    <t>Incremental users × annual revenue per user</t>
  </si>
  <si>
    <t>Sell Cursor into SpaceX, Starlink, xAI, government, and enterprise customer relationships.</t>
  </si>
  <si>
    <t>Enterprise customers × annual contract value</t>
  </si>
  <si>
    <t>Offer premium xAI-powered coding models, agents, or usage tiers inside Cursor.</t>
  </si>
  <si>
    <t>Paid attach rate × incremental ARPU</t>
  </si>
  <si>
    <t>Bundle Cursor with xAI APIs, compute capacity, enterprise support, and other AI services.</t>
  </si>
  <si>
    <t>Bundle customers × bundle contract value</t>
  </si>
  <si>
    <t>Use SpaceX’s global commercial footprint to expand Cursor adoption internationally.</t>
  </si>
  <si>
    <t>International users × annual revenue per user</t>
  </si>
  <si>
    <t>Develop secure or private Cursor deployments for government, aerospace, and defense customers.</t>
  </si>
  <si>
    <t>Contract count × average contract value</t>
  </si>
  <si>
    <t>Long term</t>
  </si>
  <si>
    <t>Monetize developer extensions, agents, integrations, marketplaces, or platform services.</t>
  </si>
  <si>
    <t>Platform activity × take rate</t>
  </si>
  <si>
    <t>Gross Margin</t>
  </si>
  <si>
    <t>Shift eligible Cursor usage from retail third-party model API pricing toward internal xAI models or improved negotiated economics.</t>
  </si>
  <si>
    <t>Model inference spend × savings rate</t>
  </si>
  <si>
    <t>Near / Medium</t>
  </si>
  <si>
    <t>Use xAI compute infrastructure to reduce external compute dependency and lower unit inference costs.</t>
  </si>
  <si>
    <t>Compute volume × unit-cost reduction</t>
  </si>
  <si>
    <t>Use the combined company’s scale to negotiate improved pricing with third-party model and infrastructure vendors.</t>
  </si>
  <si>
    <t>Vendor spend × savings rate</t>
  </si>
  <si>
    <t>Opex</t>
  </si>
  <si>
    <t>Consolidate model evaluation, infrastructure tooling, security, safety, and selected engineering resources.</t>
  </si>
  <si>
    <t>Avoided duplicate headcount and systems</t>
  </si>
  <si>
    <t>Opex / Revenue</t>
  </si>
  <si>
    <t>Use existing enterprise sales relationships and account coverage to support Cursor distribution.</t>
  </si>
  <si>
    <t>Avoided sales cost / incremental bookings</t>
  </si>
  <si>
    <t>Consolidate selected finance, legal, HR, security, procurement, and administrative functions.</t>
  </si>
  <si>
    <t>Avoided corporate costs</t>
  </si>
  <si>
    <t>Sales Efficiency</t>
  </si>
  <si>
    <t>Use SpaceX and xAI distribution to reduce the incremental cost of acquiring new Cursor customers.</t>
  </si>
  <si>
    <t>New customers × customer acquisition cost reduction</t>
  </si>
  <si>
    <t>Financing / Strategy</t>
  </si>
  <si>
    <t>Remove Cursor’s dependence on repeated external private financing and improve access to long-term capital and compute.</t>
  </si>
  <si>
    <t>Avoided financing friction / funding certainty</t>
  </si>
  <si>
    <t>Talent Risk</t>
  </si>
  <si>
    <t>Founders may have reduced incentive to remain after receiving substantial value in SPCX shares.</t>
  </si>
  <si>
    <t>Product execution / revenue retention</t>
  </si>
  <si>
    <t>Researchers and engineers may leave following the change of control or cultural integration.</t>
  </si>
  <si>
    <t>Replacement cost / product delays</t>
  </si>
  <si>
    <t>Commercial Risk</t>
  </si>
  <si>
    <t>Customers may perceive Cursor as biased toward xAI rather than remaining model-neutral.</t>
  </si>
  <si>
    <t>Customer churn / lower new bookings</t>
  </si>
  <si>
    <t>Vendor Risk</t>
  </si>
  <si>
    <t>Anthropic or OpenAI may change pricing, access, product support, or strategic cooperation following the acquisition.</t>
  </si>
  <si>
    <t>Gross margin / product quality / availability</t>
  </si>
  <si>
    <t>Enterprise customers may reduce usage because of ownership, privacy, procurement, or model-neutrality concerns.</t>
  </si>
  <si>
    <t>Revenue churn / slower sales cycles</t>
  </si>
  <si>
    <t>Execution Risk</t>
  </si>
  <si>
    <t>Management attention may shift from product velocity toward transaction closing and integration activities.</t>
  </si>
  <si>
    <t>Delayed launches / lower productivity</t>
  </si>
  <si>
    <t>Cursor’s startup culture may conflict with SpaceX or xAI management practices and operating intensity.</t>
  </si>
  <si>
    <t>Employee retention / productivity</t>
  </si>
  <si>
    <t>Customers may question source-code privacy, data use, model training practices, or information-security controls.</t>
  </si>
  <si>
    <t>Customer churn / slower enterprise adoption</t>
  </si>
  <si>
    <t>Margin Risk</t>
  </si>
  <si>
    <t>Cursor may need to retain premium third-party models if xAI alternatives do not provide comparable coding performance.</t>
  </si>
  <si>
    <t>Lower-than-expected cost savings</t>
  </si>
  <si>
    <t>Steady-state probability-weighted revenue synergy based on the revenue synergy framework.</t>
  </si>
  <si>
    <t>Steady-state probability-weighted cost synergy based on the cost synergy framework.</t>
  </si>
  <si>
    <t>Integration costs require separate analyst assumptions and should not be invented.</t>
  </si>
  <si>
    <t>Revenue synergy gross profit plus cost synergies less integration costs.</t>
  </si>
  <si>
    <t>Illustrative 12.0% discount rate. Revisit during final workbook review.</t>
  </si>
  <si>
    <t>High strategic value because the transaction immediately adds an established AI coding product and developer user base.</t>
  </si>
  <si>
    <t>Potentially the largest measurable synergy, but dependent on xAI model quality and internal compute economics.</t>
  </si>
  <si>
    <t>Meaningful opportunity through SpaceX, Starlink, xAI, government, and enterprise relationships, but execution will take time.</t>
  </si>
  <si>
    <t>Founders and engineering talent are strategically valuable, but retention is not guaranteed after closing.</t>
  </si>
  <si>
    <t>Cursor provides an established developer distribution channel that would be difficult and time-consuming to recreate internally.</t>
  </si>
  <si>
    <t>A shift away from model neutrality could impair customer trust, product quality, and enterprise adoption.</t>
  </si>
  <si>
    <t>Founder and employee attrition could reduce the strategic value of the acquisition if retention protections are insufficient.</t>
  </si>
  <si>
    <t>Illustrative enterprise cross-sell assumption: 500 addressable enterprise relationships, 10.0% adoption, and $5.0 million of incremental annual revenue per converted customer.</t>
  </si>
  <si>
    <t>Uses the $2.0B base ARR case as the addressable revenue base. Assumes 20.0% premium-feature adoption and a 20.0% incremental revenue uplift.</t>
  </si>
  <si>
    <t>Illustrative $1.0B international addressable revenue base with 30.0% penetration. The 1.0 factor converts adopted revenue directly into incremental revenue.</t>
  </si>
  <si>
    <t>Illustrative government and defense opportunity based on 20 addressable contracts, 25.0% conversion, and $25.0 million of annual revenue per converted contract.</t>
  </si>
  <si>
    <t>Illustrative model-API cost base and savings rate. Assumes savings begin materially in Year 2 as eligible workloads migrate to internal or lower-cost model economics.</t>
  </si>
  <si>
    <t>Illustrative compute cost base. Assumes benefits ramp in Year 3 because infrastructure migration and workload optimization require time.</t>
  </si>
  <si>
    <t>Illustrative third-party vendor spend and negotiated savings rate. Procurement benefits may begin relatively quickly following closing.</t>
  </si>
  <si>
    <t>Illustrative addressable R&amp;D and corporate cost base. Savings reflect limited consolidation rather than broad headcount reduction.</t>
  </si>
  <si>
    <t>Illustrative sales and distribution cost base. Benefits depend on successful use of SpaceX and xAI enterprise relationships.</t>
  </si>
  <si>
    <t>Revenue synergy gross profit calculated using an illustrative 80.0% gross-margin assumption. Reassess during final workbook review.</t>
  </si>
  <si>
    <t>Present value of projected net synergies using the illustrative five-year ramp and 12.0% discount rate.</t>
  </si>
  <si>
    <t>SPACEX ACQUISITION OF CURSOR – REGULATORY RISK</t>
  </si>
  <si>
    <t>Status</t>
  </si>
  <si>
    <t>Probability</t>
  </si>
  <si>
    <t xml:space="preserve">REGULATORY APPROVAL REQUIREMENTS </t>
  </si>
  <si>
    <t xml:space="preserve">Hart– Scott-Rodino Filing </t>
  </si>
  <si>
    <t>FTC Review</t>
  </si>
  <si>
    <t>DOJ Review</t>
  </si>
  <si>
    <t>CFIUS Review</t>
  </si>
  <si>
    <t xml:space="preserve">SEC Registration Requirements </t>
  </si>
  <si>
    <t>Shareholders Approval</t>
  </si>
  <si>
    <t xml:space="preserve">Foreign Competition Reviews </t>
  </si>
  <si>
    <t>ANTITRUST ASSESMENT</t>
  </si>
  <si>
    <t>Horizontal Overlap</t>
  </si>
  <si>
    <t>Vertical Integration Risk</t>
  </si>
  <si>
    <t xml:space="preserve">Developer Tools Market Share </t>
  </si>
  <si>
    <t xml:space="preserve">AI Foundation Model Market Share </t>
  </si>
  <si>
    <t>Cloud Infrastructure Concentration</t>
  </si>
  <si>
    <t>Antitrust Risk Score</t>
  </si>
  <si>
    <t xml:space="preserve">NATIONAL SECURITY REVIEW </t>
  </si>
  <si>
    <t>Sensitive Technologies</t>
  </si>
  <si>
    <t>Government Customers</t>
  </si>
  <si>
    <t>Defense Applications</t>
  </si>
  <si>
    <t xml:space="preserve">Foreign Ownership Concerns </t>
  </si>
  <si>
    <t>CFIUS Probability</t>
  </si>
  <si>
    <t xml:space="preserve">National Security Risk Score </t>
  </si>
  <si>
    <t>CLOSING RISK ANALYSIS</t>
  </si>
  <si>
    <t xml:space="preserve">Base Closing Probability </t>
  </si>
  <si>
    <t>Regulatory Delay Probability</t>
  </si>
  <si>
    <t>Regulatory Block Probability</t>
  </si>
  <si>
    <t>Financing Risk</t>
  </si>
  <si>
    <t>Share Price Risk</t>
  </si>
  <si>
    <t xml:space="preserve">Overall Closing Probability </t>
  </si>
  <si>
    <t xml:space="preserve">BREAK SCENERIO ECONOMICS </t>
  </si>
  <si>
    <t xml:space="preserve">Breakup fee </t>
  </si>
  <si>
    <t>Total Break Cost</t>
  </si>
  <si>
    <t xml:space="preserve">Break Cost as % of Deal Value </t>
  </si>
  <si>
    <t xml:space="preserve">Cursor Standalone Value </t>
  </si>
  <si>
    <t xml:space="preserve">Value Lost If Deal Breaks </t>
  </si>
  <si>
    <t xml:space="preserve">REGULATORY CONCLUSIONS </t>
  </si>
  <si>
    <t>Antitrust Block Risk</t>
  </si>
  <si>
    <t>National Security Review Risk</t>
  </si>
  <si>
    <t>Expected Review Duration</t>
  </si>
  <si>
    <t>Most Likely Outcome</t>
  </si>
  <si>
    <t xml:space="preserve">Overall Regulatory Verdict </t>
  </si>
  <si>
    <t>US premerger notification and waiting-period process expected due to transaction size, subject to exact filing exemptions and merger-agreement terms.</t>
  </si>
  <si>
    <t>Required / Filing Status TBD</t>
  </si>
  <si>
    <t>Merger agreement / HSR framework</t>
  </si>
  <si>
    <t>Expected</t>
  </si>
  <si>
    <t>Confirm the exact filing date, waiting-period expiration, and any second-request disclosure from the merger filing. Do not assume clearance has occurred.</t>
  </si>
  <si>
    <t>Potential review by the Federal Trade Commission depending on agency allocation and the competitive theory examined.</t>
  </si>
  <si>
    <t>Potential Reviewing Agency</t>
  </si>
  <si>
    <t>Merger agreement / regulatory framework</t>
  </si>
  <si>
    <t>Only one principal US antitrust agency would ordinarily lead the investigation. Confirm whether FTC or DOJ has jurisdiction before finalizing.</t>
  </si>
  <si>
    <t>Potential review by the Department of Justice depending on agency allocation and the relevant product and technology markets.</t>
  </si>
  <si>
    <t>Do not present both FTC and DOJ as simultaneous lead agencies. Keep both as potential until the responsible agency is confirmed.</t>
  </si>
  <si>
    <t>Potential national-security review because SpaceX and xAI operate sensitive aerospace, defense, communications, compute, and AI assets.</t>
  </si>
  <si>
    <t>Potential / Assessment Required</t>
  </si>
  <si>
    <t>Merger agreement / model judgment</t>
  </si>
  <si>
    <t>CFIUS jurisdiction and filing requirements depend on the transaction structure, investor ownership, sensitive data, critical technology, and foreign-person involvement. This is a risk assessment, not a confirmed filing requirement.</t>
  </si>
  <si>
    <t>Registration or disclosure requirements may apply to the issuance of SPCX Class A shares to Anysphere securityholders.</t>
  </si>
  <si>
    <t>Likely / Exact Form TBD</t>
  </si>
  <si>
    <t>Merger agreement / SEC filing framework</t>
  </si>
  <si>
    <t>Confirm whether consideration shares are registered through an SEC filing, issued through an exemption, or subject to separate registration rights.</t>
  </si>
  <si>
    <t>Target securityholder approval is likely required. SPCX shareholder approval depends on the merger agreement, exchange rules, share issuance size, and corporate documents.</t>
  </si>
  <si>
    <t>Target Required / SPCX TBD</t>
  </si>
  <si>
    <t>Separate target approval from acquirer approval. Do not assume SPCX shareholder approval unless specifically disclosed.</t>
  </si>
  <si>
    <t>Additional competition, foreign investment, data, or sector approvals may apply in jurisdictions where the parties exceed filing thresholds.</t>
  </si>
  <si>
    <t>Potential</t>
  </si>
  <si>
    <t>Merger agreement / jurisdictional analysis</t>
  </si>
  <si>
    <t>Confirm required jurisdictions from the merger agreement. Do not list individual countries unless disclosure or threshold analysis supports them.</t>
  </si>
  <si>
    <t>SpaceX and Cursor operate primarily in different core markets, limiting direct product overlap.</t>
  </si>
  <si>
    <t>Manageable</t>
  </si>
  <si>
    <t>The transaction appears more vertical and complementary than a direct horizontal consolidation, reducing conventional market-share concerns.</t>
  </si>
  <si>
    <t>Ownership could link Cursor’s developer interface and distribution with xAI foundation models, compute infrastructure, and other SpaceX-controlled assets.</t>
  </si>
  <si>
    <t>Key Review Area</t>
  </si>
  <si>
    <t>Regulators could examine model self-preferencing, foreclosure of rival model providers, bundling, data access, interoperability, and reduced model neutrality.</t>
  </si>
  <si>
    <t>Cursor is a significant AI coding product, but an exact defensible market share is not available in the current workbook.</t>
  </si>
  <si>
    <t>Company / market research required</t>
  </si>
  <si>
    <t>Open Diligence Item</t>
  </si>
  <si>
    <t>Do not insert an unsupported market-share percentage. Define the relevant market before calculating share.</t>
  </si>
  <si>
    <t>xAI’s exact share of the AI foundation-model market is not established in the current workbook.</t>
  </si>
  <si>
    <t>Market research required</t>
  </si>
  <si>
    <t>Competitive significance may be greater in coding-specific models than in the broader foundation-model market.</t>
  </si>
  <si>
    <t>The transaction may increase dependence on vertically integrated model and compute infrastructure, but SpaceX is not presented as the dominant public cloud provider.</t>
  </si>
  <si>
    <t>Monitor</t>
  </si>
  <si>
    <t>The primary concern is not conventional public-cloud concentration but potential integration of compute, models, developer distribution, and customer data.</t>
  </si>
  <si>
    <t>Overall antitrust risk based on limited horizontal overlap but meaningful vertical-integration and model-neutrality questions.</t>
  </si>
  <si>
    <t>1–5 Score</t>
  </si>
  <si>
    <t>Low / Moderate</t>
  </si>
  <si>
    <t>A score of 1 indicates minimal risk and 5 indicates severe risk. Current preliminary score assumes no evidence of dominant market shares or explicit foreclosure conduct.</t>
  </si>
  <si>
    <t>The combined company would control advanced AI coding technology, source-code workflows, model access, compute resources, communications infrastructure, and potentially sensitive technical data.</t>
  </si>
  <si>
    <t>Material Review Area</t>
  </si>
  <si>
    <t>The sensitivity of source code, model infrastructure, aerospace technology, and government-related data increases review relevance.</t>
  </si>
  <si>
    <t>SpaceX maintains significant government, civil-space, national-security, defense, and communications relationships.</t>
  </si>
  <si>
    <t>Exposure Level</t>
  </si>
  <si>
    <t>SPCX filings / company materials</t>
  </si>
  <si>
    <t>Relevant</t>
  </si>
  <si>
    <t>Government customer exposure does not itself block the deal but increases scrutiny around data separation, cybersecurity, access controls, and continuity.</t>
  </si>
  <si>
    <t>Cursor technology could support software development for aerospace, defense, cybersecurity, communications, and other sensitive applications.</t>
  </si>
  <si>
    <t>Medium / High</t>
  </si>
  <si>
    <t>Risk depends on customer usage, deployment architecture, source-code access, model training practices, and government-contract restrictions.</t>
  </si>
  <si>
    <t>The current workbook does not establish material foreign ownership or control concerns in Anysphere or the consideration structure.</t>
  </si>
  <si>
    <t>PitchBook / merger filing required</t>
  </si>
  <si>
    <t>Review Anysphere’s cap table, investor rights, board rights, beneficial ownership, and any foreign-government or foreign-person interests before concluding.</t>
  </si>
  <si>
    <t>Preliminary probability that the transaction receives meaningful CFIUS or national-security assessment.</t>
  </si>
  <si>
    <t>Moderate</t>
  </si>
  <si>
    <t>This is an assessment probability, not a confirmed filing probability. Update after reviewing the merger agreement and ownership disclosures.</t>
  </si>
  <si>
    <t>Overall national-security risk based on technology sensitivity, government exposure, data access, and unresolved ownership questions.</t>
  </si>
  <si>
    <t>A score of 1 indicates minimal risk and 5 indicates severe risk. Current score reflects likely scrutiny but not a base-case block.</t>
  </si>
  <si>
    <t>Preliminary probability of closing before deducting the modeled block and financing risks below.</t>
  </si>
  <si>
    <t>Base Case</t>
  </si>
  <si>
    <t>Reflects strategic commitment, all-stock consideration, and the stated Q3 2026 closing target, subject to regulatory and transaction-specific conditions.</t>
  </si>
  <si>
    <t>Probability that regulatory review delays closing beyond the initially expected Q3 2026 period without permanently blocking the deal.</t>
  </si>
  <si>
    <t>A delay can occur even if the transaction ultimately closes. Do not subtract delay probability directly from the eventual closing probability.</t>
  </si>
  <si>
    <t>Probability that regulatory action, litigation, or an inability to satisfy approval conditions permanently prevents closing.</t>
  </si>
  <si>
    <t>Preliminary block probability reflects limited horizontal overlap but unresolved vertical, data, national-security, and model-neutrality issues.</t>
  </si>
  <si>
    <t>Risk that SpaceX cannot fund or issue the required stock consideration or satisfy transaction-related financial conditions.</t>
  </si>
  <si>
    <t>All-stock consideration materially reduces conventional debt-financing risk, although closing conditions and share-issuance mechanics still matter.</t>
  </si>
  <si>
    <t>Risk that SPCX share-price volatility changes dilution and share issuance before closing.</t>
  </si>
  <si>
    <t>Economic Risk</t>
  </si>
  <si>
    <t>The floating value exchange ratio protects Cursor sellers’ dollar consideration but exposes SPCX shareholders to greater dilution if the stock declines. This is primarily an economic risk rather than a financing failure risk.</t>
  </si>
  <si>
    <t>Probability-weighted closing estimate after applying modeled regulatory block and financing risk to the base closing probability.</t>
  </si>
  <si>
    <t>High Probability</t>
  </si>
  <si>
    <t>Regulatory delay probability and share-price volatility are not deducted because they may affect timing or economics without preventing eventual closing.</t>
  </si>
  <si>
    <t>Reported cash breakup-fee component payable under the April option or walk-away arrangement.</t>
  </si>
  <si>
    <t>Reported</t>
  </si>
  <si>
    <t>Confirm whether the $1.5B amount is a formal merger termination fee, option fee, or another contractual payment.</t>
  </si>
  <si>
    <t>Reported compute commitment included in the broader walk-away economics.</t>
  </si>
  <si>
    <t>Compute consideration may differ economically from cash because its value depends on capacity, pricing, timing, and utilization.</t>
  </si>
  <si>
    <t>Total reported walk-away economics.</t>
  </si>
  <si>
    <t>Calculated</t>
  </si>
  <si>
    <t>Equals the reported breakup-fee component plus the reported compute commitment.</t>
  </si>
  <si>
    <t>Total reported break cost as a percentage of the $60.0B transaction value.</t>
  </si>
  <si>
    <t>A 16.7% break cost would be unusually large relative to standard public-company termination fees, so contractual characterization must be verified carefully.</t>
  </si>
  <si>
    <t>Preliminary standalone fair-value estimate if the transaction does not close.</t>
  </si>
  <si>
    <t>Cursor Valuation</t>
  </si>
  <si>
    <t>Model Estimate</t>
  </si>
  <si>
    <t>Uses the base-case implied value from the Cursor Valuation fair-value framework. This is not a market-observed standalone value.</t>
  </si>
  <si>
    <t>Difference between the transaction price and the preliminary standalone fair-value estimate.</t>
  </si>
  <si>
    <t>Represents value at risk to Cursor sellers relative to the transaction price if the deal breaks and Cursor reverts to the modeled standalone base case.</t>
  </si>
  <si>
    <t>Risk that competition authorities permanently prohibit the transaction.</t>
  </si>
  <si>
    <t>Limited direct horizontal overlap reduces block risk, but vertical integration, model access, data, bundling, and foreclosure theories could extend review.</t>
  </si>
  <si>
    <t>Risk that national-security review delays the transaction or results in mitigation conditions.</t>
  </si>
  <si>
    <t>Sensitive technology, government relationships, source-code access, and ownership diligence could lead to mitigation requirements even if the deal is ultimately approved.</t>
  </si>
  <si>
    <t>Preliminary expected review and closing period.</t>
  </si>
  <si>
    <t>Q3 2026 Target; Delay Possible</t>
  </si>
  <si>
    <t>Merger filing / model judgment</t>
  </si>
  <si>
    <t>The disclosed Q3 2026 target may remain achievable, but a detailed second request, national-security mitigation process, or foreign review could extend closing.</t>
  </si>
  <si>
    <t>Most probable transaction outcome based on the current preliminary risk assessment.</t>
  </si>
  <si>
    <t>Approved, Potentially with Conditions</t>
  </si>
  <si>
    <t>The base case is eventual approval because the acquisition appears strategically complementary, but conditions may address data access, security, interoperability, model neutrality, or government-related controls.</t>
  </si>
  <si>
    <t>Overall regulatory assessment.</t>
  </si>
  <si>
    <t>Moderate Execution Risk / High Closing Probability</t>
  </si>
  <si>
    <t>Proceed with Monitoring</t>
  </si>
  <si>
    <t>Regulatory risk is meaningful but does not currently appear sufficient to make deal failure the base case. The largest unresolved issues are vertical integration, sensitive data, national security, foreign ownership, and the exact approval conditions in the merger agreement.</t>
  </si>
  <si>
    <t>SPACEX ACQUISITION OF CURSOR</t>
  </si>
  <si>
    <t>Live M&amp;A Transaction Analysis</t>
  </si>
  <si>
    <t>$60.0 Billion All-Stock Acquisition of Anysphere, Inc.</t>
  </si>
  <si>
    <t>TRANSACTION SUMMARY</t>
  </si>
  <si>
    <t>Expected Close:</t>
  </si>
  <si>
    <t>Q3 2026E</t>
  </si>
  <si>
    <t>Consideration:</t>
  </si>
  <si>
    <t>SPCX Class A Shares</t>
  </si>
  <si>
    <t>Prepared By:</t>
  </si>
  <si>
    <t>Program:</t>
  </si>
  <si>
    <t>Master of Science in Finance</t>
  </si>
  <si>
    <t>Purpose:</t>
  </si>
  <si>
    <t>Investment Banking / M&amp;A Transaction Case Study</t>
  </si>
  <si>
    <t>Date Prepared:</t>
  </si>
  <si>
    <t>Purchase Price:</t>
  </si>
  <si>
    <t>$60.0B</t>
  </si>
  <si>
    <t>Transaction Type:</t>
  </si>
  <si>
    <t>All-Stock Acquisition</t>
  </si>
  <si>
    <t>Exchange Ratio:</t>
  </si>
  <si>
    <t>7-Day VWAP Floating Exchange Ratio</t>
  </si>
  <si>
    <t>Base ARR Assumption:</t>
  </si>
  <si>
    <t>$2.0B</t>
  </si>
  <si>
    <t>Implied EV / ARR:</t>
  </si>
  <si>
    <t>Modeled Closing Probability:</t>
  </si>
  <si>
    <t>Tejasvi Gupta</t>
  </si>
  <si>
    <t>Buyer Dilution Certainty</t>
  </si>
  <si>
    <t>Buyer Price Certainty</t>
  </si>
  <si>
    <t>April Option Highly Valuable</t>
  </si>
  <si>
    <t>No Earnout Increases Retention Risk</t>
  </si>
  <si>
    <t>SPCX VWAP Scenario 1</t>
  </si>
  <si>
    <t>SPCX VWAP Scenario 2</t>
  </si>
  <si>
    <t>SPCX VWAP Scenario 3</t>
  </si>
  <si>
    <t>SPCX VWAP Scenario 4</t>
  </si>
  <si>
    <t>Shares Issued Scenario 1</t>
  </si>
  <si>
    <t>Shares Issued Scenario 2</t>
  </si>
  <si>
    <t>Shares Issued Scenario 3</t>
  </si>
  <si>
    <t>Shares Issued Scenario 4</t>
  </si>
  <si>
    <t>Market-Implied Value Change (not verified synergy)</t>
  </si>
  <si>
    <t>Announcement-day market capitalisation change less purchase price. This reflects market expectations, not quantified synergies.</t>
  </si>
  <si>
    <t>Market cap move exceeded purchase price</t>
  </si>
  <si>
    <t>Market-Implied Value Change</t>
  </si>
  <si>
    <t>SPACEX ACQUISITION OF CURSOR – DILUTION MARKET</t>
  </si>
  <si>
    <t>Market viewed acquisition positively</t>
  </si>
  <si>
    <t>SPACEX ACQUISITION OF CURSOR – CURSOR VALUATION RECONSTRUCTION</t>
  </si>
  <si>
    <t>ARR SCENARIO VALUATION</t>
  </si>
  <si>
    <t>Scenario</t>
  </si>
  <si>
    <t>IMPLIED VALUATION AT SELECTED REVENUE MULTIPLES</t>
  </si>
  <si>
    <t>ARR Scenario</t>
  </si>
  <si>
    <t>FINANCING AND VALUATION</t>
  </si>
  <si>
    <t>Late-2025 Round Amount</t>
  </si>
  <si>
    <t>Illustrative — Prepared for Educational and Portfolio Purposes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</si>
</sst>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x"/>
    <numFmt numFmtId="165" formatCode="0.0%"/>
    <numFmt numFmtId="166" formatCode="0.000"/>
    <numFmt numFmtId="167" formatCode="0.0"/>
    <numFmt numFmtId="168" formatCode="yyyy\-mm\-dd"/>
  </numFmts>
  <fonts count="23" x14ac:knownFonts="1">
    <font>
      <sz val="12"/>
      <color theme="1"/>
      <name val="Aptos Narrow"/>
      <family val="2"/>
      <scheme val="minor"/>
    </font>
    <font>
      <sz val="12"/>
      <color theme="0"/>
      <name val="Aptos Narrow"/>
      <family val="2"/>
      <scheme val="minor"/>
    </font>
    <font>
      <b/>
      <sz val="16"/>
      <color theme="0"/>
      <name val="Aptos Narrow"/>
      <scheme val="minor"/>
    </font>
    <font>
      <b/>
      <sz val="16"/>
      <color theme="1"/>
      <name val="Aptos Narrow"/>
      <scheme val="minor"/>
    </font>
    <font>
      <sz val="12"/>
      <color theme="0"/>
      <name val="Aptos Narrow"/>
      <scheme val="minor"/>
    </font>
    <font>
      <b/>
      <sz val="12"/>
      <color theme="1"/>
      <name val="Aptos Narrow"/>
      <scheme val="minor"/>
    </font>
    <font>
      <sz val="12"/>
      <color theme="0"/>
      <name val="Aptos Narrow (Body)"/>
    </font>
    <font>
      <sz val="12"/>
      <color theme="1"/>
      <name val="Aptos Narrow"/>
      <family val="2"/>
      <scheme val="minor"/>
    </font>
    <font>
      <sz val="8"/>
      <name val="Aptos Narrow"/>
      <family val="2"/>
      <scheme val="minor"/>
    </font>
    <font>
      <b/>
      <sz val="12"/>
      <color theme="0"/>
      <name val="Aptos Narrow"/>
      <scheme val="minor"/>
    </font>
    <font>
      <b/>
      <sz val="14"/>
      <color theme="1"/>
      <name val="Aptos Narrow"/>
      <scheme val="minor"/>
    </font>
    <font>
      <sz val="12"/>
      <color rgb="FF002060"/>
      <name val="Aptos"/>
    </font>
    <font>
      <sz val="12"/>
      <color rgb="FF002060"/>
      <name val="Aptos Narrow"/>
      <family val="2"/>
      <scheme val="minor"/>
    </font>
    <font>
      <sz val="11"/>
      <color rgb="FF002060"/>
      <name val="Aptos"/>
    </font>
    <font>
      <sz val="26"/>
      <color rgb="FF002060"/>
      <name val="Aptos"/>
    </font>
    <font>
      <b/>
      <sz val="36"/>
      <color theme="0"/>
      <name val="Aptos Narrow"/>
      <family val="2"/>
      <scheme val="minor"/>
    </font>
    <font>
      <b/>
      <sz val="24"/>
      <color theme="0"/>
      <name val="Aptos Narrow"/>
      <family val="2"/>
      <scheme val="minor"/>
    </font>
    <font>
      <sz val="20"/>
      <color theme="0"/>
      <name val="Aptos Narrow"/>
      <family val="2"/>
      <scheme val="minor"/>
    </font>
    <font>
      <sz val="26"/>
      <color theme="0"/>
      <name val="Aptos"/>
    </font>
    <font>
      <b/>
      <sz val="11"/>
      <color theme="0"/>
      <name val="Aptos"/>
    </font>
    <font>
      <sz val="11"/>
      <color theme="0"/>
      <name val="Aptos"/>
    </font>
    <font>
      <b/>
      <sz val="13"/>
      <color theme="0"/>
      <name val="Aptos"/>
    </font>
    <font>
      <i/>
      <sz val="10"/>
      <color theme="0"/>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rgb="FF0070C0"/>
        <bgColor indexed="64"/>
      </patternFill>
    </fill>
  </fills>
  <borders count="25">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rgb="FF002060"/>
      </bottom>
      <diagonal/>
    </border>
    <border>
      <left/>
      <right style="thin">
        <color rgb="FF002060"/>
      </right>
      <top/>
      <bottom/>
      <diagonal/>
    </border>
    <border>
      <left/>
      <right style="thin">
        <color rgb="FF002060"/>
      </right>
      <top style="thin">
        <color rgb="FF002060"/>
      </top>
      <bottom/>
      <diagonal/>
    </border>
    <border>
      <left/>
      <right style="thin">
        <color rgb="FF002060"/>
      </right>
      <top/>
      <bottom style="thin">
        <color rgb="FF002060"/>
      </bottom>
      <diagonal/>
    </border>
    <border>
      <left/>
      <right/>
      <top style="thin">
        <color rgb="FF002060"/>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rgb="FF002060"/>
      </top>
      <bottom/>
      <diagonal/>
    </border>
    <border>
      <left/>
      <right style="thin">
        <color theme="0"/>
      </right>
      <top style="thin">
        <color rgb="FF002060"/>
      </top>
      <bottom/>
      <diagonal/>
    </border>
    <border>
      <left style="thin">
        <color theme="0"/>
      </left>
      <right/>
      <top/>
      <bottom/>
      <diagonal/>
    </border>
    <border>
      <left/>
      <right style="thin">
        <color theme="0"/>
      </right>
      <top/>
      <bottom/>
      <diagonal/>
    </border>
    <border>
      <left style="thin">
        <color theme="0"/>
      </left>
      <right/>
      <top/>
      <bottom style="thin">
        <color rgb="FF002060"/>
      </bottom>
      <diagonal/>
    </border>
    <border>
      <left/>
      <right style="thin">
        <color theme="0"/>
      </right>
      <top/>
      <bottom style="thin">
        <color rgb="FF00206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s>
  <cellStyleXfs count="2">
    <xf numFmtId="0" fontId="0" fillId="0" borderId="0"/>
    <xf numFmtId="9" fontId="7" fillId="0" borderId="0" applyFont="0" applyFill="0" applyBorder="0" applyAlignment="0" applyProtection="0"/>
  </cellStyleXfs>
  <cellXfs count="93">
    <xf numFmtId="0" fontId="0" fillId="0" borderId="0" xfId="0"/>
    <xf numFmtId="0" fontId="1" fillId="2" borderId="0" xfId="0" applyFont="1" applyFill="1"/>
    <xf numFmtId="0" fontId="1" fillId="2" borderId="0" xfId="0" applyFont="1" applyFill="1" applyAlignment="1">
      <alignment horizontal="center"/>
    </xf>
    <xf numFmtId="0" fontId="3" fillId="0" borderId="0" xfId="0" applyFont="1"/>
    <xf numFmtId="0" fontId="0" fillId="0" borderId="0" xfId="0" applyAlignment="1">
      <alignment horizontal="center"/>
    </xf>
    <xf numFmtId="14" fontId="0" fillId="0" borderId="0" xfId="0" applyNumberFormat="1" applyAlignment="1">
      <alignment horizontal="center"/>
    </xf>
    <xf numFmtId="2" fontId="0" fillId="0" borderId="0" xfId="0" applyNumberFormat="1" applyAlignment="1">
      <alignment horizontal="center"/>
    </xf>
    <xf numFmtId="10" fontId="0" fillId="0" borderId="0" xfId="0" applyNumberFormat="1" applyAlignment="1">
      <alignment horizontal="center"/>
    </xf>
    <xf numFmtId="0" fontId="1" fillId="0" borderId="0" xfId="0" applyFont="1"/>
    <xf numFmtId="0" fontId="6" fillId="2" borderId="0" xfId="0" applyFont="1" applyFill="1" applyAlignment="1">
      <alignment horizontal="center"/>
    </xf>
    <xf numFmtId="0" fontId="4" fillId="2" borderId="0" xfId="0" applyFont="1" applyFill="1" applyAlignment="1">
      <alignment horizontal="center"/>
    </xf>
    <xf numFmtId="0" fontId="5" fillId="2" borderId="0" xfId="0" applyFont="1" applyFill="1" applyAlignment="1">
      <alignment horizontal="center"/>
    </xf>
    <xf numFmtId="164" fontId="0" fillId="0" borderId="0" xfId="0" applyNumberFormat="1" applyAlignment="1">
      <alignment horizontal="center"/>
    </xf>
    <xf numFmtId="2" fontId="0" fillId="0" borderId="0" xfId="0" applyNumberFormat="1"/>
    <xf numFmtId="165" fontId="0" fillId="0" borderId="0" xfId="1" applyNumberFormat="1" applyFont="1" applyAlignment="1">
      <alignment horizontal="center"/>
    </xf>
    <xf numFmtId="10" fontId="0" fillId="0" borderId="0" xfId="1" applyNumberFormat="1" applyFont="1" applyAlignment="1">
      <alignment horizontal="center"/>
    </xf>
    <xf numFmtId="0" fontId="4" fillId="2" borderId="0" xfId="0" applyFont="1" applyFill="1"/>
    <xf numFmtId="0" fontId="3" fillId="0" borderId="0" xfId="0" applyFon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0" fontId="2" fillId="2" borderId="0" xfId="0" applyFont="1" applyFill="1"/>
    <xf numFmtId="0" fontId="1" fillId="3" borderId="0" xfId="0" applyFont="1" applyFill="1"/>
    <xf numFmtId="0" fontId="1" fillId="3" borderId="0" xfId="0" applyFont="1" applyFill="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4" xfId="0" applyBorder="1" applyAlignment="1">
      <alignment horizontal="center"/>
    </xf>
    <xf numFmtId="0" fontId="9" fillId="3" borderId="6" xfId="0" applyFont="1" applyFill="1" applyBorder="1"/>
    <xf numFmtId="0" fontId="9" fillId="0" borderId="0" xfId="0" applyFont="1"/>
    <xf numFmtId="0" fontId="10" fillId="0" borderId="0" xfId="0" applyFont="1"/>
    <xf numFmtId="0" fontId="1" fillId="3" borderId="0" xfId="0" applyFont="1" applyFill="1" applyAlignment="1">
      <alignment horizontal="left"/>
    </xf>
    <xf numFmtId="0" fontId="1" fillId="3" borderId="1" xfId="0" applyFon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1" fillId="3" borderId="2" xfId="0" applyFont="1" applyFill="1" applyBorder="1" applyAlignment="1">
      <alignment horizontal="center"/>
    </xf>
    <xf numFmtId="0" fontId="0" fillId="0" borderId="7" xfId="0" applyBorder="1"/>
    <xf numFmtId="0" fontId="9" fillId="3" borderId="6" xfId="0" applyFont="1" applyFill="1" applyBorder="1" applyAlignment="1">
      <alignment horizontal="center"/>
    </xf>
    <xf numFmtId="0" fontId="9" fillId="3" borderId="6" xfId="0" applyFont="1" applyFill="1" applyBorder="1" applyAlignment="1">
      <alignment horizontal="center" vertical="center"/>
    </xf>
    <xf numFmtId="0" fontId="0" fillId="0" borderId="2" xfId="0" applyBorder="1" applyAlignment="1">
      <alignment horizontal="center"/>
    </xf>
    <xf numFmtId="0" fontId="0" fillId="0" borderId="5" xfId="0" applyBorder="1" applyAlignment="1">
      <alignment horizontal="center"/>
    </xf>
    <xf numFmtId="0" fontId="11" fillId="2" borderId="0" xfId="0" applyFont="1" applyFill="1"/>
    <xf numFmtId="0" fontId="12" fillId="2" borderId="0" xfId="0" applyFont="1" applyFill="1"/>
    <xf numFmtId="0" fontId="14" fillId="2" borderId="0" xfId="0" applyFont="1" applyFill="1"/>
    <xf numFmtId="0" fontId="18" fillId="2" borderId="0" xfId="0" applyFont="1" applyFill="1"/>
    <xf numFmtId="0" fontId="20" fillId="2" borderId="0" xfId="0" applyFont="1" applyFill="1" applyAlignment="1">
      <alignment horizontal="left" vertical="center"/>
    </xf>
    <xf numFmtId="0" fontId="20" fillId="2" borderId="9" xfId="0" applyFont="1" applyFill="1" applyBorder="1" applyAlignment="1">
      <alignment horizontal="left" vertical="center"/>
    </xf>
    <xf numFmtId="0" fontId="20" fillId="2" borderId="8" xfId="0" applyFont="1" applyFill="1" applyBorder="1" applyAlignment="1">
      <alignment horizontal="left" vertical="center"/>
    </xf>
    <xf numFmtId="0" fontId="19" fillId="2" borderId="8" xfId="0" applyFont="1" applyFill="1" applyBorder="1" applyAlignment="1">
      <alignment horizontal="left" vertical="center"/>
    </xf>
    <xf numFmtId="0" fontId="20" fillId="2" borderId="11" xfId="0" applyFont="1" applyFill="1" applyBorder="1" applyAlignment="1">
      <alignment horizontal="left" vertical="center"/>
    </xf>
    <xf numFmtId="0" fontId="21" fillId="2" borderId="12" xfId="0" applyFont="1" applyFill="1" applyBorder="1" applyAlignment="1">
      <alignment horizontal="center" vertical="center"/>
    </xf>
    <xf numFmtId="0" fontId="21" fillId="2" borderId="10" xfId="0" applyFont="1" applyFill="1" applyBorder="1" applyAlignment="1">
      <alignment horizontal="center" vertical="center"/>
    </xf>
    <xf numFmtId="165" fontId="20" fillId="2" borderId="8" xfId="0" applyNumberFormat="1" applyFont="1" applyFill="1" applyBorder="1" applyAlignment="1">
      <alignment horizontal="left" vertical="center"/>
    </xf>
    <xf numFmtId="0" fontId="13" fillId="2" borderId="0" xfId="0" applyFont="1" applyFill="1" applyAlignment="1">
      <alignment horizontal="left" vertical="center"/>
    </xf>
    <xf numFmtId="0" fontId="1" fillId="2" borderId="13" xfId="0" applyFont="1" applyFill="1" applyBorder="1"/>
    <xf numFmtId="0" fontId="1" fillId="2" borderId="14" xfId="0" applyFont="1" applyFill="1" applyBorder="1"/>
    <xf numFmtId="0" fontId="1" fillId="2" borderId="15" xfId="0" applyFont="1" applyFill="1" applyBorder="1"/>
    <xf numFmtId="0" fontId="1" fillId="2" borderId="16" xfId="0" applyFont="1" applyFill="1" applyBorder="1"/>
    <xf numFmtId="0" fontId="21" fillId="2" borderId="17" xfId="0" applyFont="1" applyFill="1" applyBorder="1" applyAlignment="1">
      <alignment horizontal="center" vertical="center"/>
    </xf>
    <xf numFmtId="0" fontId="20" fillId="2" borderId="18" xfId="0" applyFont="1" applyFill="1" applyBorder="1" applyAlignment="1">
      <alignment horizontal="left" vertical="center"/>
    </xf>
    <xf numFmtId="0" fontId="20" fillId="2" borderId="19" xfId="0" applyFont="1" applyFill="1" applyBorder="1" applyAlignment="1">
      <alignment horizontal="left" vertical="center"/>
    </xf>
    <xf numFmtId="0" fontId="19" fillId="2" borderId="18" xfId="0" applyFont="1" applyFill="1" applyBorder="1" applyAlignment="1">
      <alignment horizontal="left" vertical="center"/>
    </xf>
    <xf numFmtId="0" fontId="19" fillId="2" borderId="0" xfId="0" applyFont="1" applyFill="1" applyAlignment="1">
      <alignment horizontal="left" vertical="center"/>
    </xf>
    <xf numFmtId="0" fontId="19" fillId="2" borderId="20" xfId="0" applyFont="1" applyFill="1" applyBorder="1" applyAlignment="1">
      <alignment horizontal="left" vertical="center"/>
    </xf>
    <xf numFmtId="0" fontId="20" fillId="2" borderId="21" xfId="0" applyFont="1" applyFill="1" applyBorder="1" applyAlignment="1">
      <alignment horizontal="left" vertical="center"/>
    </xf>
    <xf numFmtId="0" fontId="1" fillId="2" borderId="22" xfId="0" applyFont="1" applyFill="1" applyBorder="1"/>
    <xf numFmtId="0" fontId="1" fillId="2" borderId="23" xfId="0" applyFont="1" applyFill="1" applyBorder="1"/>
    <xf numFmtId="0" fontId="1" fillId="2" borderId="24" xfId="0" applyFont="1" applyFill="1" applyBorder="1"/>
    <xf numFmtId="0" fontId="19" fillId="2" borderId="13" xfId="0" applyFont="1" applyFill="1" applyBorder="1" applyAlignment="1">
      <alignment horizontal="left" vertical="center"/>
    </xf>
    <xf numFmtId="168" fontId="20" fillId="2" borderId="14" xfId="0" applyNumberFormat="1" applyFont="1" applyFill="1" applyBorder="1" applyAlignment="1">
      <alignment horizontal="left" vertical="center"/>
    </xf>
    <xf numFmtId="0" fontId="20" fillId="2" borderId="14" xfId="0" applyFont="1" applyFill="1" applyBorder="1" applyAlignment="1">
      <alignment horizontal="left" vertical="center"/>
    </xf>
    <xf numFmtId="0" fontId="19" fillId="2" borderId="14" xfId="0" applyFont="1" applyFill="1" applyBorder="1" applyAlignment="1">
      <alignment horizontal="left" vertical="center"/>
    </xf>
    <xf numFmtId="0" fontId="20" fillId="2" borderId="15" xfId="0" applyFont="1" applyFill="1" applyBorder="1" applyAlignment="1">
      <alignment horizontal="left" vertical="center"/>
    </xf>
    <xf numFmtId="0" fontId="19" fillId="2" borderId="22" xfId="0" applyFont="1" applyFill="1" applyBorder="1" applyAlignment="1">
      <alignment horizontal="left" vertical="center"/>
    </xf>
    <xf numFmtId="14" fontId="20" fillId="2" borderId="23" xfId="0" applyNumberFormat="1" applyFont="1" applyFill="1" applyBorder="1" applyAlignment="1">
      <alignment horizontal="left" vertical="center"/>
    </xf>
    <xf numFmtId="0" fontId="20" fillId="2" borderId="23" xfId="0" applyFont="1" applyFill="1" applyBorder="1" applyAlignment="1">
      <alignment horizontal="left" vertical="center"/>
    </xf>
    <xf numFmtId="0" fontId="19" fillId="2" borderId="23" xfId="0" applyFont="1" applyFill="1" applyBorder="1" applyAlignment="1">
      <alignment horizontal="left" vertical="center"/>
    </xf>
    <xf numFmtId="0" fontId="20" fillId="2" borderId="24" xfId="0" applyFont="1" applyFill="1" applyBorder="1" applyAlignment="1">
      <alignment horizontal="left" vertical="center"/>
    </xf>
    <xf numFmtId="0" fontId="2" fillId="2" borderId="0" xfId="0" applyFont="1" applyFill="1" applyAlignment="1">
      <alignment horizontal="left"/>
    </xf>
    <xf numFmtId="0" fontId="21" fillId="2" borderId="12" xfId="0" applyFont="1" applyFill="1" applyBorder="1" applyAlignment="1">
      <alignment horizontal="center" vertical="center"/>
    </xf>
    <xf numFmtId="0" fontId="15" fillId="2" borderId="0" xfId="0" applyFont="1" applyFill="1" applyAlignment="1">
      <alignment horizontal="center" vertical="center"/>
    </xf>
    <xf numFmtId="0" fontId="16" fillId="2" borderId="0" xfId="0" applyFont="1" applyFill="1" applyAlignment="1">
      <alignment horizontal="center" vertical="center"/>
    </xf>
    <xf numFmtId="0" fontId="17" fillId="2" borderId="0" xfId="0" applyFont="1" applyFill="1" applyAlignment="1">
      <alignment horizontal="center" vertical="center"/>
    </xf>
    <xf numFmtId="0" fontId="22" fillId="2" borderId="0" xfId="0" applyFont="1" applyFill="1" applyAlignment="1">
      <alignment horizontal="center" vertical="center" wrapText="1"/>
    </xf>
    <xf numFmtId="0" fontId="3" fillId="0" borderId="0" xfId="0" applyFont="1" applyAlignment="1">
      <alignment horizontal="left"/>
    </xf>
    <xf numFmtId="0" fontId="1" fillId="3" borderId="0" xfId="0" applyFont="1" applyFill="1" applyAlignment="1">
      <alignment horizontal="center"/>
    </xf>
    <xf numFmtId="0" fontId="0" fillId="0" borderId="2" xfId="0" applyBorder="1" applyAlignment="1">
      <alignment horizontal="center"/>
    </xf>
    <xf numFmtId="0" fontId="0" fillId="0" borderId="0" xfId="0" applyAlignment="1">
      <alignment horizontal="center"/>
    </xf>
    <xf numFmtId="0" fontId="9" fillId="3" borderId="1" xfId="0" applyFont="1" applyFill="1" applyBorder="1" applyAlignment="1">
      <alignment horizontal="center"/>
    </xf>
    <xf numFmtId="0" fontId="9" fillId="3" borderId="0" xfId="0" applyFont="1" applyFill="1" applyAlignment="1">
      <alignment horizontal="center"/>
    </xf>
    <xf numFmtId="0" fontId="0" fillId="0" borderId="4" xfId="0" applyBorder="1" applyAlignment="1">
      <alignment horizontal="center"/>
    </xf>
    <xf numFmtId="0" fontId="0" fillId="0" borderId="5" xfId="0" applyBorder="1" applyAlignment="1">
      <alignment horizontal="center"/>
    </xf>
    <xf numFmtId="0" fontId="1" fillId="3" borderId="2" xfId="0" applyFont="1"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9518792-DA61-774F-AAAC-8F3F86077ACC}">
  <we:reference id="wa200002663" version="1.8.0.0" store="en-US" storeType="OMEX"/>
  <we:alternateReferences>
    <we:reference id="WA200002663" version="1.8.0.0" store="" storeType="OMEX"/>
  </we:alternateReferences>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PBF</we:customFunctionIds>
        <we:customFunctionIds>PBM</we:customFunctionIds>
        <we:customFunctionIds>PBD</we:customFunctionIds>
        <we:customFunctionIds>PBA</we:customFunctionIds>
        <we:customFunctionIds>PBS</we:customFunctionIds>
        <we:customFunctionIds>PBEQR</we:customFunctionIds>
        <we:customFunctionIds>PBIMAGE</we:customFunctionIds>
        <we:customFunctionIds>PBFS</we:customFunctionIds>
        <we:customFunctionIds>PBMATCHPBID</we:customFunctionIds>
        <we:customFunctionIds>PBMATCHSYMBOL</we:customFunctionIds>
        <we:customFunctionIds>PBR</we:customFunctionIds>
        <we:customFunctionIds>PBCHARTMARKET</we:customFunctionIds>
      </we:customFunctionIdList>
    </a:ext>
  </we:extLst>
</we:webextension>
</file>

<file path=xl/webextensions/webextension2.xml><?xml version="1.0" encoding="utf-8"?>
<we:webextension xmlns:we="http://schemas.microsoft.com/office/webextensions/webextension/2010/11" id="{81DBBD3C-304F-2348-82C8-A4ACDFAEDCDB}">
  <we:reference id="wa200010725" version="1.0.0.1" store="en-US" storeType="OMEX"/>
  <we:alternateReferences>
    <we:reference id="WA200010725" version="1.0.0.1" store="" storeType="OMEX"/>
  </we:alternateReferences>
  <we:properties>
    <we:property name="claude.fileId" value="&quot;882dfd1f-b37a-4117-895b-8a0fefdccbcd&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EC1F-C8C7-9B4B-BA1F-F53551C8EB59}">
  <sheetPr>
    <pageSetUpPr fitToPage="1"/>
  </sheetPr>
  <dimension ref="A1:J32"/>
  <sheetViews>
    <sheetView showGridLines="0" topLeftCell="A3" workbookViewId="0">
      <selection activeCell="I15" sqref="I15"/>
    </sheetView>
  </sheetViews>
  <sheetFormatPr baseColWidth="10" defaultRowHeight="16" x14ac:dyDescent="0.2"/>
  <cols>
    <col min="1" max="1" width="4.6640625" style="42" customWidth="1"/>
    <col min="2" max="2" width="22" style="42" customWidth="1"/>
    <col min="3" max="3" width="35" style="42" customWidth="1"/>
    <col min="4" max="4" width="11.6640625" style="42" customWidth="1"/>
    <col min="5" max="5" width="26.1640625" style="42" customWidth="1"/>
    <col min="6" max="9" width="11.6640625" style="42" customWidth="1"/>
    <col min="10" max="10" width="4.6640625" style="42" customWidth="1"/>
    <col min="11" max="16384" width="10.83203125" style="42"/>
  </cols>
  <sheetData>
    <row r="1" spans="1:10" ht="24" customHeight="1" x14ac:dyDescent="0.2">
      <c r="A1" s="41"/>
      <c r="B1" s="41"/>
      <c r="C1" s="41"/>
      <c r="D1" s="41"/>
      <c r="E1" s="41"/>
      <c r="F1" s="41"/>
      <c r="G1" s="41"/>
      <c r="H1" s="41"/>
      <c r="I1" s="41"/>
      <c r="J1" s="41"/>
    </row>
    <row r="2" spans="1:10" ht="24" customHeight="1" x14ac:dyDescent="0.2">
      <c r="A2" s="41"/>
      <c r="B2" s="41"/>
      <c r="C2" s="41"/>
      <c r="D2" s="41"/>
      <c r="E2" s="41"/>
      <c r="F2" s="41"/>
      <c r="G2" s="41"/>
      <c r="H2" s="41"/>
      <c r="I2" s="41"/>
      <c r="J2" s="41"/>
    </row>
    <row r="3" spans="1:10" ht="24" customHeight="1" x14ac:dyDescent="0.2">
      <c r="A3" s="41"/>
      <c r="B3" s="41"/>
      <c r="C3" s="41"/>
      <c r="D3" s="41"/>
      <c r="E3" s="41"/>
      <c r="F3" s="41"/>
      <c r="G3" s="41"/>
      <c r="H3" s="41"/>
      <c r="I3" s="41"/>
      <c r="J3" s="41"/>
    </row>
    <row r="4" spans="1:10" ht="24" customHeight="1" x14ac:dyDescent="0.4">
      <c r="A4" s="41"/>
      <c r="B4" s="43"/>
      <c r="C4" s="43"/>
      <c r="D4" s="43"/>
      <c r="E4" s="43"/>
      <c r="F4" s="43"/>
      <c r="G4" s="43"/>
      <c r="H4" s="43"/>
      <c r="I4" s="43"/>
      <c r="J4" s="41"/>
    </row>
    <row r="5" spans="1:10" ht="42" customHeight="1" x14ac:dyDescent="0.2">
      <c r="A5" s="41"/>
      <c r="B5" s="80" t="s">
        <v>891</v>
      </c>
      <c r="C5" s="80"/>
      <c r="D5" s="80"/>
      <c r="E5" s="80"/>
      <c r="F5" s="80"/>
      <c r="G5" s="80"/>
      <c r="H5" s="80"/>
      <c r="I5" s="80"/>
      <c r="J5" s="41"/>
    </row>
    <row r="6" spans="1:10" ht="32" x14ac:dyDescent="0.2">
      <c r="A6" s="41"/>
      <c r="B6" s="81" t="s">
        <v>892</v>
      </c>
      <c r="C6" s="81"/>
      <c r="D6" s="81"/>
      <c r="E6" s="81"/>
      <c r="F6" s="81"/>
      <c r="G6" s="81"/>
      <c r="H6" s="81"/>
      <c r="I6" s="81"/>
      <c r="J6" s="41"/>
    </row>
    <row r="7" spans="1:10" ht="28" customHeight="1" x14ac:dyDescent="0.2">
      <c r="A7" s="41"/>
      <c r="B7" s="82" t="s">
        <v>893</v>
      </c>
      <c r="C7" s="82"/>
      <c r="D7" s="82"/>
      <c r="E7" s="82"/>
      <c r="F7" s="82"/>
      <c r="G7" s="82"/>
      <c r="H7" s="82"/>
      <c r="I7" s="82"/>
      <c r="J7" s="41"/>
    </row>
    <row r="8" spans="1:10" ht="24" customHeight="1" x14ac:dyDescent="0.4">
      <c r="A8" s="41"/>
      <c r="B8" s="44"/>
      <c r="C8" s="44"/>
      <c r="D8" s="44"/>
      <c r="E8" s="44"/>
      <c r="F8" s="44"/>
      <c r="G8" s="44"/>
      <c r="H8" s="44"/>
      <c r="I8" s="44"/>
      <c r="J8" s="41"/>
    </row>
    <row r="9" spans="1:10" ht="30" customHeight="1" x14ac:dyDescent="0.2">
      <c r="A9" s="41"/>
      <c r="B9" s="68" t="s">
        <v>904</v>
      </c>
      <c r="C9" s="69">
        <v>46189</v>
      </c>
      <c r="D9" s="70"/>
      <c r="E9" s="71" t="s">
        <v>895</v>
      </c>
      <c r="F9" s="70" t="s">
        <v>896</v>
      </c>
      <c r="G9" s="70"/>
      <c r="H9" s="70"/>
      <c r="I9" s="72"/>
      <c r="J9" s="41"/>
    </row>
    <row r="10" spans="1:10" ht="24" customHeight="1" x14ac:dyDescent="0.2">
      <c r="A10" s="41"/>
      <c r="B10" s="61" t="s">
        <v>897</v>
      </c>
      <c r="C10" s="45" t="s">
        <v>898</v>
      </c>
      <c r="D10" s="45"/>
      <c r="E10" s="62" t="s">
        <v>899</v>
      </c>
      <c r="F10" s="45" t="s">
        <v>915</v>
      </c>
      <c r="G10" s="45"/>
      <c r="H10" s="45"/>
      <c r="I10" s="60"/>
      <c r="J10" s="41"/>
    </row>
    <row r="11" spans="1:10" ht="24" customHeight="1" x14ac:dyDescent="0.2">
      <c r="A11" s="41"/>
      <c r="B11" s="61" t="s">
        <v>900</v>
      </c>
      <c r="C11" s="45" t="s">
        <v>901</v>
      </c>
      <c r="D11" s="45"/>
      <c r="E11" s="62" t="s">
        <v>902</v>
      </c>
      <c r="F11" s="45" t="s">
        <v>903</v>
      </c>
      <c r="G11" s="45"/>
      <c r="H11" s="45"/>
      <c r="I11" s="60"/>
      <c r="J11" s="41"/>
    </row>
    <row r="12" spans="1:10" ht="24" customHeight="1" x14ac:dyDescent="0.2">
      <c r="A12" s="41"/>
      <c r="B12" s="73" t="s">
        <v>904</v>
      </c>
      <c r="C12" s="74">
        <v>46216</v>
      </c>
      <c r="D12" s="75"/>
      <c r="E12" s="76"/>
      <c r="F12" s="75"/>
      <c r="G12" s="75"/>
      <c r="H12" s="75"/>
      <c r="I12" s="77"/>
      <c r="J12" s="41"/>
    </row>
    <row r="13" spans="1:10" ht="24" customHeight="1" x14ac:dyDescent="0.2">
      <c r="A13" s="41"/>
      <c r="B13" s="1"/>
      <c r="C13" s="1"/>
      <c r="D13" s="1"/>
      <c r="E13" s="1"/>
      <c r="F13" s="1"/>
      <c r="G13" s="1"/>
      <c r="H13" s="1"/>
      <c r="I13" s="1"/>
      <c r="J13" s="41"/>
    </row>
    <row r="14" spans="1:10" ht="24" customHeight="1" x14ac:dyDescent="0.2">
      <c r="A14" s="41"/>
      <c r="B14" s="54"/>
      <c r="C14" s="55"/>
      <c r="D14" s="55"/>
      <c r="E14" s="55"/>
      <c r="F14" s="55"/>
      <c r="G14" s="56"/>
      <c r="H14" s="1"/>
      <c r="I14" s="1"/>
      <c r="J14" s="41"/>
    </row>
    <row r="15" spans="1:10" ht="24" customHeight="1" x14ac:dyDescent="0.2">
      <c r="A15" s="41"/>
      <c r="B15" s="57"/>
      <c r="C15" s="79" t="s">
        <v>894</v>
      </c>
      <c r="D15" s="79"/>
      <c r="E15" s="79"/>
      <c r="F15" s="50"/>
      <c r="G15" s="58"/>
      <c r="H15" s="50"/>
      <c r="I15" s="51"/>
      <c r="J15" s="41"/>
    </row>
    <row r="16" spans="1:10" ht="24" customHeight="1" x14ac:dyDescent="0.2">
      <c r="A16" s="41"/>
      <c r="B16" s="59"/>
      <c r="C16" s="45"/>
      <c r="D16" s="45"/>
      <c r="E16" s="45"/>
      <c r="F16" s="45"/>
      <c r="G16" s="60"/>
      <c r="H16" s="45"/>
      <c r="I16" s="46"/>
      <c r="J16" s="41"/>
    </row>
    <row r="17" spans="1:10" ht="24" customHeight="1" x14ac:dyDescent="0.2">
      <c r="A17" s="41"/>
      <c r="B17" s="61" t="s">
        <v>905</v>
      </c>
      <c r="C17" s="45" t="s">
        <v>906</v>
      </c>
      <c r="D17" s="45"/>
      <c r="E17" s="62" t="s">
        <v>907</v>
      </c>
      <c r="F17" s="45" t="s">
        <v>908</v>
      </c>
      <c r="G17" s="60"/>
      <c r="H17" s="45"/>
      <c r="I17" s="46"/>
      <c r="J17" s="41"/>
    </row>
    <row r="18" spans="1:10" ht="24" customHeight="1" x14ac:dyDescent="0.2">
      <c r="A18" s="41"/>
      <c r="B18" s="61" t="s">
        <v>909</v>
      </c>
      <c r="C18" s="45" t="s">
        <v>910</v>
      </c>
      <c r="D18" s="45"/>
      <c r="E18" s="62" t="s">
        <v>911</v>
      </c>
      <c r="F18" s="45" t="s">
        <v>912</v>
      </c>
      <c r="G18" s="60"/>
      <c r="H18" s="45"/>
      <c r="I18" s="46"/>
      <c r="J18" s="41"/>
    </row>
    <row r="19" spans="1:10" ht="24" customHeight="1" x14ac:dyDescent="0.2">
      <c r="A19" s="41"/>
      <c r="B19" s="63" t="s">
        <v>913</v>
      </c>
      <c r="C19" s="47" t="s">
        <v>227</v>
      </c>
      <c r="D19" s="47"/>
      <c r="E19" s="48" t="s">
        <v>914</v>
      </c>
      <c r="F19" s="52">
        <v>0.79400000000000004</v>
      </c>
      <c r="G19" s="64"/>
      <c r="H19" s="47"/>
      <c r="I19" s="49"/>
      <c r="J19" s="41"/>
    </row>
    <row r="20" spans="1:10" ht="24" customHeight="1" x14ac:dyDescent="0.2">
      <c r="A20" s="41"/>
      <c r="B20" s="65"/>
      <c r="C20" s="66"/>
      <c r="D20" s="66"/>
      <c r="E20" s="66"/>
      <c r="F20" s="66"/>
      <c r="G20" s="67"/>
      <c r="H20" s="1"/>
      <c r="I20" s="1"/>
      <c r="J20" s="41"/>
    </row>
    <row r="21" spans="1:10" ht="24" customHeight="1" x14ac:dyDescent="0.2">
      <c r="A21" s="41"/>
      <c r="B21" s="1"/>
      <c r="C21" s="1"/>
      <c r="D21" s="1"/>
      <c r="E21" s="1"/>
      <c r="F21" s="1"/>
      <c r="G21" s="1"/>
      <c r="H21" s="1"/>
      <c r="I21" s="1"/>
      <c r="J21" s="41"/>
    </row>
    <row r="22" spans="1:10" ht="24" customHeight="1" x14ac:dyDescent="0.2">
      <c r="A22" s="41"/>
      <c r="B22" s="1"/>
      <c r="C22" s="1"/>
      <c r="D22" s="1"/>
      <c r="E22" s="1"/>
      <c r="F22" s="1"/>
      <c r="G22" s="1"/>
      <c r="H22" s="1"/>
      <c r="I22" s="1"/>
      <c r="J22" s="41"/>
    </row>
    <row r="23" spans="1:10" ht="24" customHeight="1" x14ac:dyDescent="0.2">
      <c r="A23" s="41"/>
      <c r="B23" s="83" t="s">
        <v>941</v>
      </c>
      <c r="C23" s="83"/>
      <c r="D23" s="83"/>
      <c r="E23" s="83"/>
      <c r="F23" s="83"/>
      <c r="G23" s="83"/>
      <c r="H23" s="83"/>
      <c r="I23" s="83"/>
      <c r="J23" s="41"/>
    </row>
    <row r="24" spans="1:10" ht="24" customHeight="1" x14ac:dyDescent="0.2">
      <c r="A24" s="41"/>
      <c r="B24" s="83"/>
      <c r="C24" s="83"/>
      <c r="D24" s="83"/>
      <c r="E24" s="83"/>
      <c r="F24" s="83"/>
      <c r="G24" s="83"/>
      <c r="H24" s="83"/>
      <c r="I24" s="83"/>
      <c r="J24" s="41"/>
    </row>
    <row r="25" spans="1:10" ht="24" customHeight="1" x14ac:dyDescent="0.2">
      <c r="A25" s="41"/>
      <c r="B25" s="53"/>
      <c r="C25" s="53"/>
      <c r="D25" s="53"/>
      <c r="E25" s="53"/>
      <c r="F25" s="53"/>
      <c r="G25" s="53"/>
      <c r="H25" s="53"/>
      <c r="I25" s="53"/>
      <c r="J25" s="41"/>
    </row>
    <row r="26" spans="1:10" ht="24" customHeight="1" x14ac:dyDescent="0.2">
      <c r="A26" s="41"/>
      <c r="B26" s="53"/>
      <c r="C26" s="53"/>
      <c r="D26" s="53"/>
      <c r="E26" s="53"/>
      <c r="F26" s="53"/>
      <c r="G26" s="53"/>
      <c r="H26" s="53"/>
      <c r="I26" s="53"/>
      <c r="J26" s="41"/>
    </row>
    <row r="27" spans="1:10" ht="24" customHeight="1" x14ac:dyDescent="0.2">
      <c r="A27" s="41"/>
      <c r="B27" s="41"/>
      <c r="C27" s="41"/>
      <c r="D27" s="41"/>
      <c r="E27" s="41"/>
      <c r="F27" s="41"/>
      <c r="G27" s="41"/>
      <c r="H27" s="41"/>
      <c r="I27" s="41"/>
      <c r="J27" s="41"/>
    </row>
    <row r="28" spans="1:10" ht="24" customHeight="1" x14ac:dyDescent="0.2">
      <c r="A28" s="41"/>
      <c r="B28" s="41"/>
      <c r="C28" s="41"/>
      <c r="D28" s="41"/>
      <c r="E28" s="41"/>
      <c r="F28" s="41"/>
      <c r="G28" s="41"/>
      <c r="H28" s="41"/>
      <c r="I28" s="41"/>
      <c r="J28" s="41"/>
    </row>
    <row r="29" spans="1:10" ht="24" customHeight="1" x14ac:dyDescent="0.2">
      <c r="A29" s="41"/>
      <c r="B29" s="41"/>
      <c r="C29" s="41"/>
      <c r="D29" s="41"/>
      <c r="E29" s="41"/>
      <c r="F29" s="41"/>
      <c r="G29" s="41"/>
      <c r="H29" s="41"/>
      <c r="I29" s="41"/>
      <c r="J29" s="41"/>
    </row>
    <row r="30" spans="1:10" ht="24" customHeight="1" x14ac:dyDescent="0.2">
      <c r="A30" s="41"/>
      <c r="J30" s="41"/>
    </row>
    <row r="31" spans="1:10" ht="24" customHeight="1" x14ac:dyDescent="0.2">
      <c r="A31" s="41"/>
      <c r="J31" s="41"/>
    </row>
    <row r="32" spans="1:10" ht="24" customHeight="1" x14ac:dyDescent="0.2">
      <c r="A32" s="41"/>
      <c r="B32" s="41"/>
      <c r="C32" s="41"/>
      <c r="D32" s="41"/>
      <c r="E32" s="41"/>
      <c r="F32" s="41"/>
      <c r="G32" s="41"/>
      <c r="H32" s="41"/>
      <c r="I32" s="41"/>
      <c r="J32" s="41"/>
    </row>
  </sheetData>
  <mergeCells count="5">
    <mergeCell ref="C15:E15"/>
    <mergeCell ref="B5:I5"/>
    <mergeCell ref="B6:I6"/>
    <mergeCell ref="B7:I7"/>
    <mergeCell ref="B23:I24"/>
  </mergeCells>
  <pageMargins left="0.7" right="0.7" top="0.75" bottom="0.75" header="0.3" footer="0.3"/>
  <pageSetup paperSize="0" scale="68" orientation="landscape"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21D06-C871-1248-B690-37530C3C9AD0}">
  <dimension ref="A1:G74"/>
  <sheetViews>
    <sheetView showGridLines="0" workbookViewId="0">
      <pane ySplit="3" topLeftCell="A40" activePane="bottomLeft" state="frozen"/>
      <selection pane="bottomLeft" activeCell="C74" sqref="C74"/>
    </sheetView>
  </sheetViews>
  <sheetFormatPr baseColWidth="10" defaultRowHeight="16" x14ac:dyDescent="0.2"/>
  <cols>
    <col min="1" max="1" width="37.83203125" customWidth="1"/>
    <col min="2" max="2" width="18" style="4" customWidth="1"/>
    <col min="3" max="3" width="59.83203125" style="4" customWidth="1"/>
    <col min="4" max="4" width="10.83203125" style="4"/>
    <col min="5" max="5" width="30.5" style="4" customWidth="1"/>
    <col min="6" max="6" width="10.83203125" style="4"/>
    <col min="7" max="7" width="86" style="4" customWidth="1"/>
  </cols>
  <sheetData>
    <row r="1" spans="1:7" s="1" customFormat="1" ht="22" x14ac:dyDescent="0.3">
      <c r="A1" s="78" t="s">
        <v>0</v>
      </c>
      <c r="B1" s="78"/>
      <c r="C1" s="78"/>
      <c r="D1" s="78"/>
      <c r="E1" s="78"/>
      <c r="F1" s="78"/>
      <c r="G1" s="78"/>
    </row>
    <row r="3" spans="1:7" s="1" customFormat="1" x14ac:dyDescent="0.2">
      <c r="A3" s="1" t="s">
        <v>1</v>
      </c>
      <c r="B3" s="2" t="s">
        <v>27</v>
      </c>
      <c r="C3" s="2" t="s">
        <v>2</v>
      </c>
      <c r="D3" s="2" t="s">
        <v>3</v>
      </c>
      <c r="E3" s="2" t="s">
        <v>4</v>
      </c>
      <c r="F3" s="2" t="s">
        <v>5</v>
      </c>
      <c r="G3" s="2" t="s">
        <v>6</v>
      </c>
    </row>
    <row r="4" spans="1:7" ht="22" x14ac:dyDescent="0.3">
      <c r="A4" s="3" t="s">
        <v>7</v>
      </c>
    </row>
    <row r="5" spans="1:7" x14ac:dyDescent="0.2">
      <c r="A5" t="s">
        <v>8</v>
      </c>
      <c r="B5" s="4" t="s">
        <v>201</v>
      </c>
      <c r="C5" s="5">
        <v>46189</v>
      </c>
      <c r="D5" s="4" t="s">
        <v>196</v>
      </c>
      <c r="E5" s="4" t="s">
        <v>88</v>
      </c>
      <c r="F5" s="4" t="s">
        <v>90</v>
      </c>
      <c r="G5" s="4" t="s">
        <v>104</v>
      </c>
    </row>
    <row r="6" spans="1:7" x14ac:dyDescent="0.2">
      <c r="A6" t="s">
        <v>9</v>
      </c>
      <c r="B6" s="4" t="str" cm="1">
        <f t="array" ref="B6">_xll.PBMATCHPBID(C6)</f>
        <v>46488-07</v>
      </c>
      <c r="C6" s="4" t="s">
        <v>28</v>
      </c>
      <c r="D6" s="4" t="s">
        <v>94</v>
      </c>
      <c r="E6" s="4" t="s">
        <v>105</v>
      </c>
      <c r="F6" s="4" t="s">
        <v>90</v>
      </c>
      <c r="G6" s="4" t="s">
        <v>106</v>
      </c>
    </row>
    <row r="7" spans="1:7" x14ac:dyDescent="0.2">
      <c r="A7" t="s">
        <v>10</v>
      </c>
      <c r="B7" s="4" t="str" cm="1">
        <f t="array" ref="B7">_xll.PBMATCHPBID(C7)</f>
        <v>46488-07</v>
      </c>
      <c r="C7" s="4" t="s">
        <v>32</v>
      </c>
      <c r="D7" s="4" t="s">
        <v>94</v>
      </c>
      <c r="E7" s="4" t="s">
        <v>107</v>
      </c>
      <c r="F7" s="4" t="s">
        <v>90</v>
      </c>
      <c r="G7" s="4" t="s">
        <v>108</v>
      </c>
    </row>
    <row r="8" spans="1:7" x14ac:dyDescent="0.2">
      <c r="A8" t="s">
        <v>11</v>
      </c>
      <c r="B8" s="4" t="str" cm="1">
        <f t="array" ref="B8">_xll.PBMATCHPBID(C8)</f>
        <v>519419-89</v>
      </c>
      <c r="C8" s="4" t="s">
        <v>29</v>
      </c>
      <c r="D8" s="4" t="s">
        <v>94</v>
      </c>
      <c r="E8" s="4" t="s">
        <v>109</v>
      </c>
      <c r="F8" s="4" t="s">
        <v>90</v>
      </c>
      <c r="G8" s="4" t="s">
        <v>110</v>
      </c>
    </row>
    <row r="9" spans="1:7" x14ac:dyDescent="0.2">
      <c r="A9" t="s">
        <v>12</v>
      </c>
      <c r="B9" s="4" t="str" cm="1">
        <f t="array" ref="B9">_xll.PBMATCHPBID(C9)</f>
        <v>519419-89</v>
      </c>
      <c r="C9" s="4" t="s">
        <v>30</v>
      </c>
      <c r="D9" s="4" t="s">
        <v>94</v>
      </c>
      <c r="E9" s="4" t="s">
        <v>111</v>
      </c>
      <c r="F9" s="4" t="s">
        <v>102</v>
      </c>
      <c r="G9" s="4" t="s">
        <v>112</v>
      </c>
    </row>
    <row r="10" spans="1:7" x14ac:dyDescent="0.2">
      <c r="A10" t="s">
        <v>13</v>
      </c>
      <c r="B10" s="4" t="s">
        <v>201</v>
      </c>
      <c r="C10" s="4" t="s">
        <v>197</v>
      </c>
      <c r="D10" s="4" t="s">
        <v>94</v>
      </c>
      <c r="E10" s="4" t="s">
        <v>113</v>
      </c>
      <c r="F10" s="4" t="s">
        <v>90</v>
      </c>
      <c r="G10" s="4" t="s">
        <v>114</v>
      </c>
    </row>
    <row r="11" spans="1:7" x14ac:dyDescent="0.2">
      <c r="A11" t="s">
        <v>14</v>
      </c>
      <c r="B11" s="4" t="s">
        <v>201</v>
      </c>
      <c r="C11" s="4" t="s">
        <v>31</v>
      </c>
      <c r="D11" s="4" t="s">
        <v>94</v>
      </c>
      <c r="E11" s="4" t="s">
        <v>91</v>
      </c>
      <c r="F11" s="4" t="s">
        <v>90</v>
      </c>
      <c r="G11" s="4" t="s">
        <v>115</v>
      </c>
    </row>
    <row r="12" spans="1:7" x14ac:dyDescent="0.2">
      <c r="A12" t="s">
        <v>15</v>
      </c>
      <c r="B12" s="4" t="s">
        <v>32</v>
      </c>
      <c r="C12" s="4" t="s">
        <v>33</v>
      </c>
      <c r="D12" s="4" t="s">
        <v>94</v>
      </c>
      <c r="E12" s="4" t="s">
        <v>91</v>
      </c>
      <c r="F12" s="4" t="s">
        <v>90</v>
      </c>
      <c r="G12" s="4" t="s">
        <v>116</v>
      </c>
    </row>
    <row r="13" spans="1:7" x14ac:dyDescent="0.2">
      <c r="A13" t="s">
        <v>16</v>
      </c>
      <c r="B13" s="4" t="s">
        <v>201</v>
      </c>
      <c r="C13" s="4">
        <v>60</v>
      </c>
      <c r="D13" s="4" t="s">
        <v>94</v>
      </c>
      <c r="E13" s="4" t="s">
        <v>117</v>
      </c>
      <c r="F13" s="4" t="s">
        <v>90</v>
      </c>
      <c r="G13" s="4" t="s">
        <v>118</v>
      </c>
    </row>
    <row r="14" spans="1:7" x14ac:dyDescent="0.2">
      <c r="A14" t="s">
        <v>17</v>
      </c>
      <c r="B14" s="4" t="s">
        <v>201</v>
      </c>
      <c r="C14" s="4" t="s">
        <v>34</v>
      </c>
      <c r="D14" s="4" t="s">
        <v>94</v>
      </c>
      <c r="E14" s="4" t="s">
        <v>91</v>
      </c>
      <c r="F14" s="4" t="s">
        <v>90</v>
      </c>
      <c r="G14" s="4" t="s">
        <v>119</v>
      </c>
    </row>
    <row r="15" spans="1:7" x14ac:dyDescent="0.2">
      <c r="A15" t="s">
        <v>18</v>
      </c>
      <c r="B15" s="4" t="s">
        <v>32</v>
      </c>
      <c r="C15" s="4" t="s">
        <v>35</v>
      </c>
      <c r="D15" s="4" t="s">
        <v>94</v>
      </c>
      <c r="E15" s="4" t="s">
        <v>91</v>
      </c>
      <c r="F15" s="4" t="s">
        <v>90</v>
      </c>
      <c r="G15" s="4" t="s">
        <v>120</v>
      </c>
    </row>
    <row r="16" spans="1:7" x14ac:dyDescent="0.2">
      <c r="A16" t="s">
        <v>19</v>
      </c>
      <c r="B16" s="4" t="s">
        <v>201</v>
      </c>
      <c r="C16" s="4" t="s">
        <v>36</v>
      </c>
      <c r="D16" s="4" t="s">
        <v>94</v>
      </c>
      <c r="E16" s="4" t="s">
        <v>113</v>
      </c>
      <c r="F16" s="4" t="s">
        <v>90</v>
      </c>
      <c r="G16" s="4" t="s">
        <v>121</v>
      </c>
    </row>
    <row r="17" spans="1:7" x14ac:dyDescent="0.2">
      <c r="A17" t="s">
        <v>20</v>
      </c>
      <c r="B17" s="4" t="s">
        <v>201</v>
      </c>
      <c r="C17" s="4" t="s">
        <v>37</v>
      </c>
      <c r="D17" s="4" t="s">
        <v>94</v>
      </c>
      <c r="E17" s="4" t="s">
        <v>91</v>
      </c>
      <c r="F17" s="4" t="s">
        <v>102</v>
      </c>
      <c r="G17" s="4" t="s">
        <v>122</v>
      </c>
    </row>
    <row r="18" spans="1:7" x14ac:dyDescent="0.2">
      <c r="A18" t="s">
        <v>21</v>
      </c>
      <c r="B18" s="4" t="s">
        <v>201</v>
      </c>
      <c r="C18" s="5">
        <v>46133</v>
      </c>
      <c r="D18" s="4" t="s">
        <v>196</v>
      </c>
      <c r="E18" s="4" t="s">
        <v>123</v>
      </c>
      <c r="F18" s="4" t="s">
        <v>89</v>
      </c>
      <c r="G18" s="4" t="s">
        <v>124</v>
      </c>
    </row>
    <row r="19" spans="1:7" x14ac:dyDescent="0.2">
      <c r="A19" t="s">
        <v>22</v>
      </c>
      <c r="B19" s="4" t="s">
        <v>201</v>
      </c>
      <c r="C19" s="4">
        <v>10</v>
      </c>
      <c r="D19" s="4" t="s">
        <v>66</v>
      </c>
      <c r="E19" s="4" t="s">
        <v>92</v>
      </c>
      <c r="F19" s="4" t="s">
        <v>89</v>
      </c>
      <c r="G19" s="4" t="s">
        <v>125</v>
      </c>
    </row>
    <row r="20" spans="1:7" x14ac:dyDescent="0.2">
      <c r="A20" t="s">
        <v>23</v>
      </c>
      <c r="B20" s="4" t="s">
        <v>201</v>
      </c>
      <c r="C20" s="4">
        <v>1.5</v>
      </c>
      <c r="D20" s="4" t="s">
        <v>66</v>
      </c>
      <c r="E20" s="4" t="s">
        <v>92</v>
      </c>
      <c r="F20" s="4" t="s">
        <v>89</v>
      </c>
      <c r="G20" s="4" t="s">
        <v>126</v>
      </c>
    </row>
    <row r="21" spans="1:7" x14ac:dyDescent="0.2">
      <c r="A21" t="s">
        <v>24</v>
      </c>
      <c r="B21" s="4" t="s">
        <v>201</v>
      </c>
      <c r="C21" s="4">
        <v>8.5</v>
      </c>
      <c r="D21" s="4" t="s">
        <v>66</v>
      </c>
      <c r="E21" s="4" t="s">
        <v>92</v>
      </c>
      <c r="F21" s="4" t="s">
        <v>93</v>
      </c>
      <c r="G21" s="4" t="s">
        <v>127</v>
      </c>
    </row>
    <row r="22" spans="1:7" x14ac:dyDescent="0.2">
      <c r="A22" t="s">
        <v>25</v>
      </c>
      <c r="B22" s="4" t="s">
        <v>201</v>
      </c>
      <c r="C22" s="4" t="s">
        <v>38</v>
      </c>
      <c r="D22" s="4" t="s">
        <v>199</v>
      </c>
      <c r="E22" s="4" t="s">
        <v>91</v>
      </c>
      <c r="F22" s="4" t="s">
        <v>89</v>
      </c>
      <c r="G22" s="4" t="s">
        <v>128</v>
      </c>
    </row>
    <row r="23" spans="1:7" x14ac:dyDescent="0.2">
      <c r="A23" t="s">
        <v>26</v>
      </c>
      <c r="B23" s="4" t="s">
        <v>201</v>
      </c>
      <c r="C23" s="4" t="s">
        <v>39</v>
      </c>
      <c r="D23" s="4" t="s">
        <v>94</v>
      </c>
      <c r="E23" s="4" t="s">
        <v>91</v>
      </c>
      <c r="F23" s="4" t="s">
        <v>90</v>
      </c>
      <c r="G23" s="4" t="s">
        <v>129</v>
      </c>
    </row>
    <row r="25" spans="1:7" ht="22" x14ac:dyDescent="0.3">
      <c r="A25" s="3" t="s">
        <v>41</v>
      </c>
    </row>
    <row r="26" spans="1:7" x14ac:dyDescent="0.2">
      <c r="A26" t="s">
        <v>42</v>
      </c>
      <c r="B26" s="4" t="s">
        <v>201</v>
      </c>
      <c r="C26" s="4" t="s">
        <v>130</v>
      </c>
      <c r="D26" s="4" t="s">
        <v>94</v>
      </c>
      <c r="E26" s="4" t="s">
        <v>131</v>
      </c>
      <c r="F26" s="4" t="s">
        <v>89</v>
      </c>
      <c r="G26" s="4" t="s">
        <v>132</v>
      </c>
    </row>
    <row r="27" spans="1:7" x14ac:dyDescent="0.2">
      <c r="A27" t="s">
        <v>195</v>
      </c>
      <c r="B27" s="4" t="s">
        <v>32</v>
      </c>
      <c r="C27" s="4" t="s">
        <v>133</v>
      </c>
      <c r="D27" s="4" t="s">
        <v>94</v>
      </c>
      <c r="E27" s="4" t="s">
        <v>134</v>
      </c>
      <c r="F27" s="4" t="s">
        <v>89</v>
      </c>
      <c r="G27" s="4" t="s">
        <v>135</v>
      </c>
    </row>
    <row r="28" spans="1:7" x14ac:dyDescent="0.2">
      <c r="A28" t="s">
        <v>200</v>
      </c>
      <c r="B28" s="4" t="s">
        <v>32</v>
      </c>
      <c r="C28" s="4" t="s">
        <v>136</v>
      </c>
      <c r="D28" s="4" t="s">
        <v>94</v>
      </c>
      <c r="E28" s="4" t="s">
        <v>98</v>
      </c>
      <c r="F28" s="4" t="s">
        <v>93</v>
      </c>
      <c r="G28" s="4" t="s">
        <v>137</v>
      </c>
    </row>
    <row r="29" spans="1:7" x14ac:dyDescent="0.2">
      <c r="A29" t="s">
        <v>194</v>
      </c>
      <c r="B29" s="4" t="s">
        <v>29</v>
      </c>
      <c r="C29" s="4" t="s">
        <v>138</v>
      </c>
      <c r="D29" s="4" t="s">
        <v>94</v>
      </c>
      <c r="E29" s="4" t="s">
        <v>111</v>
      </c>
      <c r="F29" s="4" t="s">
        <v>102</v>
      </c>
      <c r="G29" s="4" t="s">
        <v>139</v>
      </c>
    </row>
    <row r="30" spans="1:7" x14ac:dyDescent="0.2">
      <c r="A30" t="s">
        <v>43</v>
      </c>
      <c r="B30" s="4" t="s">
        <v>29</v>
      </c>
      <c r="C30" s="4" t="s">
        <v>140</v>
      </c>
      <c r="D30" s="4" t="s">
        <v>94</v>
      </c>
      <c r="E30" s="4" t="s">
        <v>98</v>
      </c>
      <c r="F30" s="4" t="s">
        <v>93</v>
      </c>
      <c r="G30" s="4" t="s">
        <v>141</v>
      </c>
    </row>
    <row r="31" spans="1:7" x14ac:dyDescent="0.2">
      <c r="A31" t="s">
        <v>44</v>
      </c>
      <c r="B31" s="4" t="s">
        <v>29</v>
      </c>
      <c r="C31" s="4" t="s">
        <v>142</v>
      </c>
      <c r="D31" s="4" t="s">
        <v>94</v>
      </c>
      <c r="E31" s="4" t="s">
        <v>143</v>
      </c>
      <c r="F31" s="4" t="s">
        <v>89</v>
      </c>
      <c r="G31" s="4" t="s">
        <v>144</v>
      </c>
    </row>
    <row r="32" spans="1:7" x14ac:dyDescent="0.2">
      <c r="A32" t="s">
        <v>45</v>
      </c>
      <c r="B32" s="4" t="s">
        <v>201</v>
      </c>
      <c r="C32" s="4" t="s">
        <v>145</v>
      </c>
      <c r="D32" s="4" t="s">
        <v>94</v>
      </c>
      <c r="E32" s="4" t="s">
        <v>146</v>
      </c>
      <c r="F32" s="4" t="s">
        <v>89</v>
      </c>
      <c r="G32" s="4" t="s">
        <v>147</v>
      </c>
    </row>
    <row r="33" spans="1:7" x14ac:dyDescent="0.2">
      <c r="A33" t="s">
        <v>46</v>
      </c>
      <c r="B33" s="4" t="s">
        <v>29</v>
      </c>
      <c r="C33" s="4" t="s">
        <v>148</v>
      </c>
      <c r="D33" s="4" t="s">
        <v>94</v>
      </c>
      <c r="E33" s="4" t="s">
        <v>146</v>
      </c>
      <c r="F33" s="4" t="s">
        <v>89</v>
      </c>
      <c r="G33" s="4" t="s">
        <v>149</v>
      </c>
    </row>
    <row r="34" spans="1:7" x14ac:dyDescent="0.2">
      <c r="A34" t="s">
        <v>47</v>
      </c>
      <c r="B34" s="4" t="s">
        <v>29</v>
      </c>
      <c r="C34" s="4" t="s">
        <v>150</v>
      </c>
      <c r="D34" s="4" t="s">
        <v>94</v>
      </c>
      <c r="E34" s="4" t="s">
        <v>146</v>
      </c>
      <c r="F34" s="4" t="s">
        <v>89</v>
      </c>
      <c r="G34" s="4" t="s">
        <v>151</v>
      </c>
    </row>
    <row r="36" spans="1:7" ht="22" x14ac:dyDescent="0.3">
      <c r="A36" s="3" t="s">
        <v>48</v>
      </c>
    </row>
    <row r="37" spans="1:7" x14ac:dyDescent="0.2">
      <c r="A37" t="s">
        <v>49</v>
      </c>
      <c r="B37" s="4" t="str" cm="1">
        <f t="array" ref="B37">_xll.PBMATCHPBID($C$8)</f>
        <v>519419-89</v>
      </c>
      <c r="C37" s="4" t="s">
        <v>29</v>
      </c>
      <c r="D37" s="4" t="s">
        <v>94</v>
      </c>
      <c r="E37" s="4" t="s">
        <v>95</v>
      </c>
      <c r="F37" s="4" t="s">
        <v>90</v>
      </c>
      <c r="G37" s="4" t="s">
        <v>152</v>
      </c>
    </row>
    <row r="38" spans="1:7" x14ac:dyDescent="0.2">
      <c r="A38" t="s">
        <v>50</v>
      </c>
      <c r="B38" s="4" t="s">
        <v>64</v>
      </c>
      <c r="C38" s="5" cm="1">
        <f t="array" ref="C38">_xll.PBD(B38,"Deal Date","","USD","","")</f>
        <v>45813</v>
      </c>
      <c r="D38" s="4" t="s">
        <v>196</v>
      </c>
      <c r="E38" s="4" t="s">
        <v>95</v>
      </c>
      <c r="F38" s="4" t="s">
        <v>90</v>
      </c>
      <c r="G38" s="4" t="s">
        <v>153</v>
      </c>
    </row>
    <row r="39" spans="1:7" x14ac:dyDescent="0.2">
      <c r="A39" t="s">
        <v>51</v>
      </c>
      <c r="B39" s="4" t="s">
        <v>64</v>
      </c>
      <c r="C39" s="6" cm="1">
        <f t="array" ref="C39">_xll.PBD(B39,"Deal Amount","","USD","/1000000000","")</f>
        <v>0.89999898300000003</v>
      </c>
      <c r="D39" s="4" t="s">
        <v>66</v>
      </c>
      <c r="E39" s="4" t="s">
        <v>95</v>
      </c>
      <c r="F39" s="4" t="s">
        <v>90</v>
      </c>
      <c r="G39" s="4" t="s">
        <v>154</v>
      </c>
    </row>
    <row r="40" spans="1:7" x14ac:dyDescent="0.2">
      <c r="A40" t="s">
        <v>52</v>
      </c>
      <c r="B40" s="4" t="s">
        <v>64</v>
      </c>
      <c r="C40" s="6" cm="1">
        <f t="array" ref="C40">_xll.PBD(B40,"Deal Post Valuation","","USD","/1000000000","")</f>
        <v>9.9000000480000008</v>
      </c>
      <c r="D40" s="4" t="s">
        <v>66</v>
      </c>
      <c r="E40" s="4" t="s">
        <v>95</v>
      </c>
      <c r="F40" s="4" t="s">
        <v>90</v>
      </c>
      <c r="G40" s="4" t="s">
        <v>155</v>
      </c>
    </row>
    <row r="41" spans="1:7" x14ac:dyDescent="0.2">
      <c r="A41" t="s">
        <v>53</v>
      </c>
      <c r="B41" s="4" t="s">
        <v>65</v>
      </c>
      <c r="C41" s="5" cm="1">
        <f t="array" ref="C41">_xll.PBD(B41,"Deal Date","","USD","/1000000000","")</f>
        <v>45974</v>
      </c>
      <c r="D41" s="4" t="s">
        <v>196</v>
      </c>
      <c r="E41" s="4" t="s">
        <v>95</v>
      </c>
      <c r="F41" s="4" t="s">
        <v>90</v>
      </c>
      <c r="G41" s="4" t="s">
        <v>96</v>
      </c>
    </row>
    <row r="42" spans="1:7" x14ac:dyDescent="0.2">
      <c r="A42" t="s">
        <v>54</v>
      </c>
      <c r="B42" s="4" t="s">
        <v>65</v>
      </c>
      <c r="C42" s="6" cm="1">
        <f t="array" ref="C42">_xll.PBD(B42,"Deal Amount","","USD","/1000000000","")</f>
        <v>2.300000297</v>
      </c>
      <c r="D42" s="4" t="s">
        <v>66</v>
      </c>
      <c r="E42" s="4" t="s">
        <v>95</v>
      </c>
      <c r="F42" s="4" t="s">
        <v>90</v>
      </c>
      <c r="G42" s="4" t="s">
        <v>156</v>
      </c>
    </row>
    <row r="43" spans="1:7" x14ac:dyDescent="0.2">
      <c r="A43" t="s">
        <v>55</v>
      </c>
      <c r="B43" s="4" t="s">
        <v>65</v>
      </c>
      <c r="C43" s="6" cm="1">
        <f t="array" ref="C43">_xll.PBD(B43,"Deal Post Valuation","","USD","/1000000000","")</f>
        <v>29.300000333</v>
      </c>
      <c r="D43" s="4" t="s">
        <v>66</v>
      </c>
      <c r="E43" s="4" t="s">
        <v>95</v>
      </c>
      <c r="F43" s="4" t="s">
        <v>102</v>
      </c>
      <c r="G43" s="4" t="s">
        <v>157</v>
      </c>
    </row>
    <row r="44" spans="1:7" x14ac:dyDescent="0.2">
      <c r="A44" t="s">
        <v>56</v>
      </c>
      <c r="B44" s="4" t="str" cm="1">
        <f t="array" ref="B44">_xll.PBMATCHPBID($C$8)</f>
        <v>519419-89</v>
      </c>
      <c r="C44" s="4">
        <v>2</v>
      </c>
      <c r="D44" s="4" t="s">
        <v>66</v>
      </c>
      <c r="E44" s="4" t="s">
        <v>97</v>
      </c>
      <c r="F44" s="4" t="s">
        <v>89</v>
      </c>
      <c r="G44" s="4" t="s">
        <v>158</v>
      </c>
    </row>
    <row r="45" spans="1:7" x14ac:dyDescent="0.2">
      <c r="A45" t="s">
        <v>57</v>
      </c>
      <c r="B45" s="4" t="str" cm="1">
        <f t="array" ref="B45">_xll.PBMATCHPBID($C$8)</f>
        <v>519419-89</v>
      </c>
      <c r="C45" s="4">
        <v>50</v>
      </c>
      <c r="D45" s="4" t="s">
        <v>66</v>
      </c>
      <c r="E45" s="4" t="s">
        <v>97</v>
      </c>
      <c r="F45" s="4" t="s">
        <v>89</v>
      </c>
      <c r="G45" s="4" t="s">
        <v>159</v>
      </c>
    </row>
    <row r="46" spans="1:7" x14ac:dyDescent="0.2">
      <c r="A46" t="s">
        <v>58</v>
      </c>
      <c r="B46" s="4" t="str" cm="1">
        <f t="array" ref="B46">_xll.PBMATCHPBID($C$8)</f>
        <v>519419-89</v>
      </c>
      <c r="C46" s="4">
        <v>1</v>
      </c>
      <c r="D46" s="4" t="s">
        <v>66</v>
      </c>
      <c r="E46" s="4" t="s">
        <v>97</v>
      </c>
      <c r="F46" s="4" t="s">
        <v>89</v>
      </c>
      <c r="G46" s="4" t="s">
        <v>160</v>
      </c>
    </row>
    <row r="47" spans="1:7" x14ac:dyDescent="0.2">
      <c r="A47" t="s">
        <v>59</v>
      </c>
      <c r="B47" s="4" t="str" cm="1">
        <f t="array" ref="B47">_xll.PBMATCHPBID($C$8)</f>
        <v>519419-89</v>
      </c>
      <c r="C47" s="4">
        <v>2</v>
      </c>
      <c r="D47" s="4" t="s">
        <v>66</v>
      </c>
      <c r="E47" s="4" t="s">
        <v>98</v>
      </c>
      <c r="F47" s="4" t="s">
        <v>89</v>
      </c>
      <c r="G47" s="4" t="s">
        <v>161</v>
      </c>
    </row>
    <row r="48" spans="1:7" x14ac:dyDescent="0.2">
      <c r="A48" t="s">
        <v>60</v>
      </c>
      <c r="B48" s="4" t="str" cm="1">
        <f t="array" ref="B48">_xll.PBMATCHPBID($C$8)</f>
        <v>519419-89</v>
      </c>
      <c r="C48" s="7">
        <v>0.1</v>
      </c>
      <c r="D48" s="4" t="s">
        <v>68</v>
      </c>
      <c r="E48" s="4" t="s">
        <v>99</v>
      </c>
      <c r="F48" s="4" t="s">
        <v>89</v>
      </c>
      <c r="G48" s="4" t="s">
        <v>162</v>
      </c>
    </row>
    <row r="49" spans="1:7" x14ac:dyDescent="0.2">
      <c r="A49" t="s">
        <v>61</v>
      </c>
      <c r="B49" s="4" t="str" cm="1">
        <f t="array" ref="B49">_xll.PBMATCHPBID($C$8)</f>
        <v>519419-89</v>
      </c>
      <c r="C49" s="7">
        <v>7.0000000000000007E-2</v>
      </c>
      <c r="D49" s="4" t="s">
        <v>68</v>
      </c>
      <c r="E49" s="4" t="s">
        <v>99</v>
      </c>
      <c r="F49" s="4" t="s">
        <v>89</v>
      </c>
      <c r="G49" s="4" t="s">
        <v>162</v>
      </c>
    </row>
    <row r="50" spans="1:7" x14ac:dyDescent="0.2">
      <c r="A50" t="s">
        <v>62</v>
      </c>
      <c r="B50" s="4" t="str" cm="1">
        <f t="array" ref="B50">_xll.PBMATCHPBID($C$8)</f>
        <v>519419-89</v>
      </c>
      <c r="C50" s="4" t="s">
        <v>67</v>
      </c>
      <c r="D50" s="4" t="s">
        <v>40</v>
      </c>
      <c r="E50" s="4" t="s">
        <v>99</v>
      </c>
      <c r="F50" s="4" t="s">
        <v>89</v>
      </c>
      <c r="G50" s="4" t="s">
        <v>163</v>
      </c>
    </row>
    <row r="51" spans="1:7" x14ac:dyDescent="0.2">
      <c r="A51" t="s">
        <v>63</v>
      </c>
      <c r="B51" s="4" t="str" cm="1">
        <f t="array" ref="B51">_xll.PBMATCHPBID($C$8)</f>
        <v>519419-89</v>
      </c>
      <c r="C51" s="4">
        <v>2.7</v>
      </c>
      <c r="D51" s="4" t="s">
        <v>66</v>
      </c>
      <c r="E51" s="4" t="s">
        <v>98</v>
      </c>
      <c r="F51" s="4" t="s">
        <v>93</v>
      </c>
      <c r="G51" s="4" t="s">
        <v>164</v>
      </c>
    </row>
    <row r="52" spans="1:7" x14ac:dyDescent="0.2">
      <c r="E52" s="4" t="s">
        <v>146</v>
      </c>
      <c r="F52" s="4" t="s">
        <v>89</v>
      </c>
      <c r="G52" s="4" t="s">
        <v>165</v>
      </c>
    </row>
    <row r="53" spans="1:7" ht="22" x14ac:dyDescent="0.3">
      <c r="A53" s="3" t="s">
        <v>193</v>
      </c>
    </row>
    <row r="54" spans="1:7" x14ac:dyDescent="0.2">
      <c r="A54" t="s">
        <v>16</v>
      </c>
      <c r="B54" s="4" t="s">
        <v>198</v>
      </c>
      <c r="C54" s="4">
        <f>C13</f>
        <v>60</v>
      </c>
      <c r="D54" s="4" t="s">
        <v>66</v>
      </c>
      <c r="E54" s="4" t="s">
        <v>100</v>
      </c>
      <c r="F54" s="4" t="s">
        <v>90</v>
      </c>
      <c r="G54" s="4" t="s">
        <v>166</v>
      </c>
    </row>
    <row r="55" spans="1:7" x14ac:dyDescent="0.2">
      <c r="A55" t="s">
        <v>69</v>
      </c>
      <c r="B55" s="4" t="s">
        <v>198</v>
      </c>
      <c r="C55" s="4">
        <f>IFERROR(C54/C46,"N/D")</f>
        <v>60</v>
      </c>
      <c r="D55" s="4" t="s">
        <v>101</v>
      </c>
      <c r="E55" s="4" t="s">
        <v>100</v>
      </c>
      <c r="F55" s="4" t="s">
        <v>89</v>
      </c>
      <c r="G55" s="4" t="s">
        <v>167</v>
      </c>
    </row>
    <row r="56" spans="1:7" x14ac:dyDescent="0.2">
      <c r="A56" t="s">
        <v>70</v>
      </c>
      <c r="B56" s="4" t="s">
        <v>198</v>
      </c>
      <c r="C56" s="4">
        <f>IFERROR(C54/C47,"N/D")</f>
        <v>30</v>
      </c>
      <c r="D56" s="4" t="s">
        <v>101</v>
      </c>
      <c r="E56" s="4" t="s">
        <v>100</v>
      </c>
      <c r="F56" s="4" t="s">
        <v>89</v>
      </c>
      <c r="G56" s="4" t="s">
        <v>168</v>
      </c>
    </row>
    <row r="57" spans="1:7" x14ac:dyDescent="0.2">
      <c r="A57" t="s">
        <v>71</v>
      </c>
      <c r="B57" s="4" t="s">
        <v>198</v>
      </c>
      <c r="C57" s="4" t="s">
        <v>169</v>
      </c>
      <c r="D57" s="4" t="s">
        <v>101</v>
      </c>
      <c r="E57" s="4" t="s">
        <v>170</v>
      </c>
      <c r="F57" s="4" t="s">
        <v>103</v>
      </c>
      <c r="G57" s="4" t="s">
        <v>171</v>
      </c>
    </row>
    <row r="58" spans="1:7" x14ac:dyDescent="0.2">
      <c r="A58" t="s">
        <v>72</v>
      </c>
      <c r="B58" s="4" t="s">
        <v>198</v>
      </c>
      <c r="C58" s="4">
        <f>IFERROR(C54/C43-1,"N/D")</f>
        <v>1.0477815466924487</v>
      </c>
      <c r="D58" s="4" t="s">
        <v>68</v>
      </c>
      <c r="E58" s="4" t="s">
        <v>100</v>
      </c>
      <c r="F58" s="4" t="s">
        <v>89</v>
      </c>
      <c r="G58" s="4" t="s">
        <v>172</v>
      </c>
    </row>
    <row r="59" spans="1:7" x14ac:dyDescent="0.2">
      <c r="A59" t="s">
        <v>73</v>
      </c>
      <c r="B59" s="4" t="s">
        <v>198</v>
      </c>
      <c r="C59" s="4">
        <f>IFERROR(C54/C45-1,"N/D")</f>
        <v>0.19999999999999996</v>
      </c>
      <c r="D59" s="4" t="s">
        <v>68</v>
      </c>
      <c r="E59" s="4" t="s">
        <v>100</v>
      </c>
      <c r="F59" s="4" t="s">
        <v>89</v>
      </c>
      <c r="G59" s="4" t="s">
        <v>173</v>
      </c>
    </row>
    <row r="60" spans="1:7" x14ac:dyDescent="0.2">
      <c r="A60" t="s">
        <v>74</v>
      </c>
      <c r="B60" s="4" t="s">
        <v>32</v>
      </c>
      <c r="C60" s="4" t="s">
        <v>67</v>
      </c>
      <c r="D60" s="4" t="s">
        <v>66</v>
      </c>
      <c r="E60" s="4" t="s">
        <v>174</v>
      </c>
      <c r="F60" s="4" t="s">
        <v>102</v>
      </c>
      <c r="G60" s="4" t="s">
        <v>175</v>
      </c>
    </row>
    <row r="61" spans="1:7" x14ac:dyDescent="0.2">
      <c r="A61" t="s">
        <v>75</v>
      </c>
      <c r="B61" s="4" t="s">
        <v>32</v>
      </c>
      <c r="C61" s="4" t="str">
        <f>IFERROR(C54/C60,"N/D")</f>
        <v>N/D</v>
      </c>
      <c r="D61" s="4" t="s">
        <v>68</v>
      </c>
      <c r="E61" s="4" t="s">
        <v>100</v>
      </c>
      <c r="F61" s="4" t="s">
        <v>102</v>
      </c>
      <c r="G61" s="4" t="s">
        <v>176</v>
      </c>
    </row>
    <row r="62" spans="1:7" x14ac:dyDescent="0.2">
      <c r="A62" t="s">
        <v>76</v>
      </c>
      <c r="B62" s="4" t="s">
        <v>32</v>
      </c>
      <c r="C62" s="4">
        <f>C71</f>
        <v>2658.5509967359999</v>
      </c>
      <c r="D62" s="4" t="s">
        <v>66</v>
      </c>
      <c r="E62" s="4" t="s">
        <v>177</v>
      </c>
      <c r="F62" s="4" t="s">
        <v>102</v>
      </c>
      <c r="G62" s="4" t="s">
        <v>178</v>
      </c>
    </row>
    <row r="63" spans="1:7" x14ac:dyDescent="0.2">
      <c r="A63" t="s">
        <v>77</v>
      </c>
      <c r="B63" s="4" t="s">
        <v>32</v>
      </c>
      <c r="C63" s="4">
        <f>IFERROR(C69/C70-1,"N/D")</f>
        <v>4.8311688311688306E-2</v>
      </c>
      <c r="D63" s="4" t="s">
        <v>68</v>
      </c>
      <c r="E63" s="4" t="s">
        <v>177</v>
      </c>
      <c r="F63" s="4" t="s">
        <v>102</v>
      </c>
      <c r="G63" s="4" t="s">
        <v>179</v>
      </c>
    </row>
    <row r="64" spans="1:7" x14ac:dyDescent="0.2">
      <c r="A64" t="s">
        <v>78</v>
      </c>
      <c r="B64" s="4" t="s">
        <v>32</v>
      </c>
      <c r="C64" s="4">
        <f>IFERROR(C62/(1+C63)*C63,"N/D")</f>
        <v>122.51994187138155</v>
      </c>
      <c r="D64" s="4" t="s">
        <v>66</v>
      </c>
      <c r="E64" s="4" t="s">
        <v>100</v>
      </c>
      <c r="F64" s="4" t="s">
        <v>89</v>
      </c>
      <c r="G64" s="4" t="s">
        <v>180</v>
      </c>
    </row>
    <row r="66" spans="1:7" ht="22" x14ac:dyDescent="0.3">
      <c r="A66" s="3" t="s">
        <v>79</v>
      </c>
    </row>
    <row r="67" spans="1:7" x14ac:dyDescent="0.2">
      <c r="A67" t="s">
        <v>80</v>
      </c>
      <c r="B67" s="4" t="s">
        <v>32</v>
      </c>
      <c r="C67" s="4" t="str">
        <f>B6</f>
        <v>46488-07</v>
      </c>
      <c r="D67" s="4" t="s">
        <v>94</v>
      </c>
      <c r="E67" s="4" t="s">
        <v>181</v>
      </c>
      <c r="F67" s="4" t="s">
        <v>90</v>
      </c>
      <c r="G67" s="4" t="s">
        <v>182</v>
      </c>
    </row>
    <row r="68" spans="1:7" x14ac:dyDescent="0.2">
      <c r="A68" t="s">
        <v>81</v>
      </c>
      <c r="B68" s="4" t="s">
        <v>198</v>
      </c>
      <c r="C68" s="4" t="str">
        <f>B8</f>
        <v>519419-89</v>
      </c>
      <c r="D68" s="4" t="s">
        <v>94</v>
      </c>
      <c r="E68" s="4" t="s">
        <v>95</v>
      </c>
      <c r="F68" s="4" t="s">
        <v>90</v>
      </c>
      <c r="G68" s="4" t="s">
        <v>183</v>
      </c>
    </row>
    <row r="69" spans="1:7" x14ac:dyDescent="0.2">
      <c r="A69" t="s">
        <v>82</v>
      </c>
      <c r="B69" s="4" t="s">
        <v>32</v>
      </c>
      <c r="C69" s="4" cm="1">
        <f t="array" ref="C69">_xll.PBM($C$67,"Close Price","16-Jun-2026","16-Jun-2026","0","d","asc","USD","")</f>
        <v>201.8</v>
      </c>
      <c r="D69" s="4" t="s">
        <v>184</v>
      </c>
      <c r="E69" s="4" t="s">
        <v>185</v>
      </c>
      <c r="F69" s="4" t="s">
        <v>102</v>
      </c>
      <c r="G69" s="4" t="s">
        <v>186</v>
      </c>
    </row>
    <row r="70" spans="1:7" x14ac:dyDescent="0.2">
      <c r="A70" t="s">
        <v>83</v>
      </c>
      <c r="B70" s="4" t="s">
        <v>32</v>
      </c>
      <c r="C70" s="4" cm="1">
        <f t="array" ref="C70">_xll.PBM($C$67,"Close Price","15-Jun-2026","15-Jun-2026","0","d","asc","USD","")</f>
        <v>192.5</v>
      </c>
      <c r="D70" s="4" t="s">
        <v>184</v>
      </c>
      <c r="E70" s="4" t="s">
        <v>185</v>
      </c>
      <c r="F70" s="4" t="s">
        <v>102</v>
      </c>
      <c r="G70" s="4" t="s">
        <v>187</v>
      </c>
    </row>
    <row r="71" spans="1:7" x14ac:dyDescent="0.2">
      <c r="A71" t="s">
        <v>84</v>
      </c>
      <c r="B71" s="4" t="s">
        <v>32</v>
      </c>
      <c r="C71" s="6" cm="1">
        <f t="array" ref="C71">_xll.PBM(C67,"Market Cap","16-Jun-2026","16-Jun-2026","0","d","asc","USD","/1000000000")</f>
        <v>2658.5509967359999</v>
      </c>
      <c r="D71" s="4" t="s">
        <v>66</v>
      </c>
      <c r="E71" s="4" t="s">
        <v>185</v>
      </c>
      <c r="F71" s="4" t="s">
        <v>102</v>
      </c>
      <c r="G71" s="4" t="s">
        <v>188</v>
      </c>
    </row>
    <row r="72" spans="1:7" x14ac:dyDescent="0.2">
      <c r="A72" t="s">
        <v>85</v>
      </c>
      <c r="B72" s="4" t="s">
        <v>198</v>
      </c>
      <c r="C72" s="4" cm="1">
        <f t="array" ref="C72">_xll.PBD(C68,"Most Recent Post Valuation","","USD","/1000000000","")</f>
        <v>60</v>
      </c>
      <c r="D72" s="4" t="s">
        <v>66</v>
      </c>
      <c r="E72" s="4" t="s">
        <v>95</v>
      </c>
      <c r="F72" s="4" t="s">
        <v>102</v>
      </c>
      <c r="G72" s="4" t="s">
        <v>189</v>
      </c>
    </row>
    <row r="73" spans="1:7" x14ac:dyDescent="0.2">
      <c r="A73" t="s">
        <v>86</v>
      </c>
      <c r="B73" s="4" t="s">
        <v>198</v>
      </c>
      <c r="D73" s="4" t="s">
        <v>66</v>
      </c>
      <c r="E73" s="4" t="s">
        <v>95</v>
      </c>
      <c r="F73" s="4" t="s">
        <v>90</v>
      </c>
      <c r="G73" s="4" t="s">
        <v>190</v>
      </c>
    </row>
    <row r="74" spans="1:7" x14ac:dyDescent="0.2">
      <c r="A74" t="s">
        <v>87</v>
      </c>
      <c r="B74" s="4" t="s">
        <v>198</v>
      </c>
      <c r="D74" s="4" t="s">
        <v>94</v>
      </c>
      <c r="E74" s="4" t="s">
        <v>191</v>
      </c>
      <c r="F74" s="4" t="s">
        <v>102</v>
      </c>
      <c r="G74" s="4" t="s">
        <v>192</v>
      </c>
    </row>
  </sheetData>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C34FA-DCE9-3D40-A4FF-5A3807F6756C}">
  <dimension ref="A1:I55"/>
  <sheetViews>
    <sheetView showGridLines="0" workbookViewId="0">
      <pane ySplit="1" topLeftCell="A42" activePane="bottomLeft" state="frozen"/>
      <selection pane="bottomLeft" activeCell="E66" sqref="E66"/>
    </sheetView>
  </sheetViews>
  <sheetFormatPr baseColWidth="10" defaultRowHeight="16" x14ac:dyDescent="0.2"/>
  <cols>
    <col min="1" max="1" width="31.1640625" customWidth="1"/>
    <col min="2" max="2" width="16.33203125" customWidth="1"/>
    <col min="3" max="3" width="19.1640625" customWidth="1"/>
    <col min="4" max="4" width="20" customWidth="1"/>
    <col min="5" max="5" width="25.1640625" customWidth="1"/>
    <col min="6" max="6" width="19" customWidth="1"/>
    <col min="7" max="7" width="34.5" customWidth="1"/>
    <col min="8" max="8" width="19.33203125" customWidth="1"/>
    <col min="9" max="9" width="89" customWidth="1"/>
  </cols>
  <sheetData>
    <row r="1" spans="1:9" s="1" customFormat="1" ht="22" customHeight="1" x14ac:dyDescent="0.3">
      <c r="A1" s="78" t="s">
        <v>934</v>
      </c>
      <c r="B1" s="78"/>
      <c r="C1" s="78"/>
      <c r="D1" s="78"/>
      <c r="E1" s="78"/>
      <c r="F1" s="78"/>
      <c r="G1" s="78"/>
      <c r="H1" s="78"/>
    </row>
    <row r="3" spans="1:9" s="8" customFormat="1" ht="22" x14ac:dyDescent="0.3">
      <c r="A3" s="3" t="s">
        <v>206</v>
      </c>
    </row>
    <row r="4" spans="1:9" s="11" customFormat="1" x14ac:dyDescent="0.2">
      <c r="A4" s="10" t="s">
        <v>202</v>
      </c>
      <c r="B4" s="10" t="s">
        <v>203</v>
      </c>
      <c r="C4" s="10" t="s">
        <v>2</v>
      </c>
      <c r="D4" s="10" t="s">
        <v>3</v>
      </c>
      <c r="E4" s="10" t="s">
        <v>204</v>
      </c>
      <c r="F4" s="10" t="s">
        <v>205</v>
      </c>
      <c r="G4" s="10" t="s">
        <v>4</v>
      </c>
      <c r="H4" s="10" t="s">
        <v>5</v>
      </c>
      <c r="I4" s="10" t="s">
        <v>6</v>
      </c>
    </row>
    <row r="5" spans="1:9" x14ac:dyDescent="0.2">
      <c r="A5" t="s">
        <v>16</v>
      </c>
      <c r="B5" s="4" t="s">
        <v>261</v>
      </c>
      <c r="C5" s="6">
        <f>'Deal Fact Sheet '!C13</f>
        <v>60</v>
      </c>
      <c r="D5" s="4" t="s">
        <v>66</v>
      </c>
      <c r="E5" s="4"/>
      <c r="F5" s="4"/>
      <c r="G5" s="4" t="s">
        <v>262</v>
      </c>
      <c r="H5" s="4" t="s">
        <v>90</v>
      </c>
      <c r="I5" t="s">
        <v>263</v>
      </c>
    </row>
    <row r="6" spans="1:9" x14ac:dyDescent="0.2">
      <c r="A6" t="s">
        <v>51</v>
      </c>
      <c r="B6" s="4" t="s">
        <v>264</v>
      </c>
      <c r="C6" s="6">
        <f>'Deal Fact Sheet '!C39</f>
        <v>0.89999898300000003</v>
      </c>
      <c r="D6" s="4" t="s">
        <v>66</v>
      </c>
      <c r="E6" s="4"/>
      <c r="F6" s="4"/>
      <c r="G6" s="4" t="s">
        <v>265</v>
      </c>
      <c r="H6" s="4" t="s">
        <v>90</v>
      </c>
      <c r="I6" t="s">
        <v>266</v>
      </c>
    </row>
    <row r="7" spans="1:9" x14ac:dyDescent="0.2">
      <c r="A7" t="s">
        <v>207</v>
      </c>
      <c r="B7" s="4" t="s">
        <v>264</v>
      </c>
      <c r="C7" s="6">
        <f>'Deal Fact Sheet '!C40</f>
        <v>9.9000000480000008</v>
      </c>
      <c r="D7" s="4" t="s">
        <v>66</v>
      </c>
      <c r="E7" s="4"/>
      <c r="F7" s="4"/>
      <c r="G7" s="4" t="s">
        <v>265</v>
      </c>
      <c r="H7" s="4" t="s">
        <v>90</v>
      </c>
      <c r="I7" t="s">
        <v>267</v>
      </c>
    </row>
    <row r="8" spans="1:9" x14ac:dyDescent="0.2">
      <c r="A8" s="4" t="s">
        <v>940</v>
      </c>
      <c r="B8" s="4" t="s">
        <v>268</v>
      </c>
      <c r="C8" s="6">
        <f>'Deal Fact Sheet '!C42</f>
        <v>2.300000297</v>
      </c>
      <c r="D8" s="4" t="s">
        <v>66</v>
      </c>
      <c r="E8" s="4"/>
      <c r="F8" s="4"/>
      <c r="G8" s="4" t="s">
        <v>265</v>
      </c>
      <c r="H8" s="4" t="s">
        <v>90</v>
      </c>
      <c r="I8" t="s">
        <v>269</v>
      </c>
    </row>
    <row r="9" spans="1:9" x14ac:dyDescent="0.2">
      <c r="A9" t="s">
        <v>208</v>
      </c>
      <c r="B9" s="4" t="s">
        <v>268</v>
      </c>
      <c r="C9" s="6">
        <f>'Deal Fact Sheet '!C43</f>
        <v>29.300000333</v>
      </c>
      <c r="D9" s="4" t="s">
        <v>66</v>
      </c>
      <c r="E9" s="4"/>
      <c r="F9" s="4"/>
      <c r="G9" s="4" t="s">
        <v>265</v>
      </c>
      <c r="H9" s="4" t="s">
        <v>102</v>
      </c>
      <c r="I9" t="s">
        <v>270</v>
      </c>
    </row>
    <row r="10" spans="1:9" x14ac:dyDescent="0.2">
      <c r="A10" t="s">
        <v>210</v>
      </c>
      <c r="B10" s="4" t="s">
        <v>271</v>
      </c>
      <c r="C10" s="6">
        <f>'Deal Fact Sheet '!C44</f>
        <v>2</v>
      </c>
      <c r="D10" s="4" t="s">
        <v>66</v>
      </c>
      <c r="E10" s="4"/>
      <c r="F10" s="5"/>
      <c r="G10" s="4" t="s">
        <v>272</v>
      </c>
      <c r="H10" s="4" t="s">
        <v>89</v>
      </c>
      <c r="I10" t="s">
        <v>273</v>
      </c>
    </row>
    <row r="11" spans="1:9" x14ac:dyDescent="0.2">
      <c r="A11" t="s">
        <v>209</v>
      </c>
      <c r="B11" s="4" t="s">
        <v>271</v>
      </c>
      <c r="C11" s="6">
        <f>'Deal Fact Sheet '!C45</f>
        <v>50</v>
      </c>
      <c r="D11" s="4" t="s">
        <v>66</v>
      </c>
      <c r="E11" s="4"/>
      <c r="F11" s="4"/>
      <c r="G11" s="4" t="s">
        <v>272</v>
      </c>
      <c r="H11" s="4" t="s">
        <v>89</v>
      </c>
      <c r="I11" t="s">
        <v>274</v>
      </c>
    </row>
    <row r="12" spans="1:9" x14ac:dyDescent="0.2">
      <c r="A12" t="s">
        <v>211</v>
      </c>
      <c r="B12" s="4" t="s">
        <v>275</v>
      </c>
      <c r="C12" s="6">
        <f>'Deal Fact Sheet '!C46</f>
        <v>1</v>
      </c>
      <c r="D12" s="4" t="s">
        <v>66</v>
      </c>
      <c r="E12" s="4"/>
      <c r="F12" s="4"/>
      <c r="G12" s="4" t="s">
        <v>272</v>
      </c>
      <c r="H12" s="4" t="s">
        <v>89</v>
      </c>
      <c r="I12" t="s">
        <v>276</v>
      </c>
    </row>
    <row r="13" spans="1:9" x14ac:dyDescent="0.2">
      <c r="A13" t="s">
        <v>212</v>
      </c>
      <c r="B13" s="4" t="s">
        <v>277</v>
      </c>
      <c r="C13" s="6">
        <v>4</v>
      </c>
      <c r="D13" s="4" t="s">
        <v>66</v>
      </c>
      <c r="E13" s="4"/>
      <c r="F13" s="4"/>
      <c r="G13" s="4" t="s">
        <v>278</v>
      </c>
      <c r="H13" s="4" t="s">
        <v>279</v>
      </c>
      <c r="I13" t="s">
        <v>280</v>
      </c>
    </row>
    <row r="14" spans="1:9" x14ac:dyDescent="0.2">
      <c r="B14" s="4"/>
      <c r="C14" s="4"/>
      <c r="D14" s="4"/>
      <c r="E14" s="4"/>
      <c r="F14" s="4"/>
      <c r="G14" s="4"/>
      <c r="H14" s="4"/>
    </row>
    <row r="15" spans="1:9" ht="22" x14ac:dyDescent="0.3">
      <c r="A15" s="3" t="s">
        <v>935</v>
      </c>
    </row>
    <row r="16" spans="1:9" s="1" customFormat="1" x14ac:dyDescent="0.2">
      <c r="A16" s="1" t="s">
        <v>936</v>
      </c>
      <c r="B16" s="1" t="s">
        <v>213</v>
      </c>
      <c r="C16" s="1" t="s">
        <v>214</v>
      </c>
      <c r="D16" s="1" t="s">
        <v>215</v>
      </c>
      <c r="E16" s="1" t="s">
        <v>216</v>
      </c>
      <c r="F16" s="1" t="s">
        <v>217</v>
      </c>
      <c r="G16" s="1" t="s">
        <v>218</v>
      </c>
      <c r="H16" s="1" t="s">
        <v>219</v>
      </c>
      <c r="I16" s="1" t="s">
        <v>6</v>
      </c>
    </row>
    <row r="17" spans="1:9" s="4" customFormat="1" x14ac:dyDescent="0.2">
      <c r="A17" t="s">
        <v>220</v>
      </c>
      <c r="B17" s="6">
        <f>$C$12</f>
        <v>1</v>
      </c>
      <c r="C17" s="6">
        <f>$C$5</f>
        <v>60</v>
      </c>
      <c r="D17" s="12">
        <f>IFERROR(C17/B17,"N/D")</f>
        <v>60</v>
      </c>
      <c r="E17" s="6">
        <f>IFERROR(C17/20,"N/D")</f>
        <v>3</v>
      </c>
      <c r="F17" s="6">
        <f>IFERROR(C17/25,"N/D")</f>
        <v>2.4</v>
      </c>
      <c r="G17" s="4" t="s">
        <v>278</v>
      </c>
      <c r="H17" s="4" t="s">
        <v>89</v>
      </c>
      <c r="I17" s="4" t="s">
        <v>281</v>
      </c>
    </row>
    <row r="18" spans="1:9" s="4" customFormat="1" x14ac:dyDescent="0.2">
      <c r="A18" t="s">
        <v>221</v>
      </c>
      <c r="B18" s="6">
        <f>'Deal Fact Sheet '!C47</f>
        <v>2</v>
      </c>
      <c r="C18" s="6">
        <f>$C$5</f>
        <v>60</v>
      </c>
      <c r="D18" s="12">
        <f>IFERROR(C18/B18,"N/D")</f>
        <v>30</v>
      </c>
      <c r="E18" s="6">
        <f>IFERROR(C18/20,"N/D")</f>
        <v>3</v>
      </c>
      <c r="F18" s="6">
        <f>IFERROR(C18/25,"N/D")</f>
        <v>2.4</v>
      </c>
      <c r="G18" s="4" t="s">
        <v>98</v>
      </c>
      <c r="H18" s="4" t="s">
        <v>89</v>
      </c>
      <c r="I18" s="4" t="s">
        <v>282</v>
      </c>
    </row>
    <row r="19" spans="1:9" s="4" customFormat="1" x14ac:dyDescent="0.2">
      <c r="A19" t="s">
        <v>222</v>
      </c>
      <c r="B19" s="6">
        <f>$C$13</f>
        <v>4</v>
      </c>
      <c r="C19" s="6">
        <f>$C$5</f>
        <v>60</v>
      </c>
      <c r="D19" s="12">
        <f>IFERROR(C19/B19,"N/D")</f>
        <v>15</v>
      </c>
      <c r="E19" s="6">
        <f>IFERROR(C19/20,"N/D")</f>
        <v>3</v>
      </c>
      <c r="F19" s="6">
        <f>IFERROR(C19/25,"N/D")</f>
        <v>2.4</v>
      </c>
      <c r="G19" s="4" t="s">
        <v>278</v>
      </c>
      <c r="H19" s="4" t="s">
        <v>279</v>
      </c>
      <c r="I19" s="4" t="s">
        <v>283</v>
      </c>
    </row>
    <row r="21" spans="1:9" ht="22" x14ac:dyDescent="0.3">
      <c r="A21" s="84" t="s">
        <v>937</v>
      </c>
      <c r="B21" s="84"/>
      <c r="C21" s="84"/>
    </row>
    <row r="22" spans="1:9" s="2" customFormat="1" x14ac:dyDescent="0.2">
      <c r="A22" s="2" t="s">
        <v>938</v>
      </c>
      <c r="B22" s="2" t="s">
        <v>213</v>
      </c>
      <c r="C22" s="2" t="s">
        <v>223</v>
      </c>
      <c r="D22" s="2" t="s">
        <v>224</v>
      </c>
      <c r="E22" s="2" t="s">
        <v>225</v>
      </c>
      <c r="F22" s="2" t="s">
        <v>226</v>
      </c>
      <c r="G22" s="2" t="s">
        <v>227</v>
      </c>
      <c r="H22" s="2" t="s">
        <v>228</v>
      </c>
      <c r="I22" s="2" t="s">
        <v>229</v>
      </c>
    </row>
    <row r="23" spans="1:9" s="4" customFormat="1" x14ac:dyDescent="0.2">
      <c r="A23" t="s">
        <v>230</v>
      </c>
      <c r="B23" s="6">
        <f>$C$12</f>
        <v>1</v>
      </c>
      <c r="C23" s="6">
        <f>B23*10</f>
        <v>10</v>
      </c>
      <c r="D23" s="6">
        <f>B23*15</f>
        <v>15</v>
      </c>
      <c r="E23" s="6">
        <f>B23*20</f>
        <v>20</v>
      </c>
      <c r="F23" s="6">
        <f>B23*25</f>
        <v>25</v>
      </c>
      <c r="G23" s="6">
        <f>B23*30</f>
        <v>30</v>
      </c>
      <c r="H23" s="6">
        <f>$C$5</f>
        <v>60</v>
      </c>
      <c r="I23" s="7">
        <f>IFERROR(H23/E23-1,"N/D")</f>
        <v>2</v>
      </c>
    </row>
    <row r="24" spans="1:9" s="4" customFormat="1" x14ac:dyDescent="0.2">
      <c r="A24" t="s">
        <v>221</v>
      </c>
      <c r="B24" s="6">
        <f>'Deal Fact Sheet '!C47</f>
        <v>2</v>
      </c>
      <c r="C24" s="6">
        <f>B24*10</f>
        <v>20</v>
      </c>
      <c r="D24" s="6">
        <f>B24*15</f>
        <v>30</v>
      </c>
      <c r="E24" s="6">
        <f>B24*20</f>
        <v>40</v>
      </c>
      <c r="F24" s="6">
        <f>B24*25</f>
        <v>50</v>
      </c>
      <c r="G24" s="6">
        <f>B24*30</f>
        <v>60</v>
      </c>
      <c r="H24" s="6">
        <f>$C$5</f>
        <v>60</v>
      </c>
      <c r="I24" s="7">
        <f>IFERROR(H24/E24-1,"N/D")</f>
        <v>0.5</v>
      </c>
    </row>
    <row r="25" spans="1:9" s="4" customFormat="1" x14ac:dyDescent="0.2">
      <c r="A25" t="s">
        <v>231</v>
      </c>
      <c r="B25" s="6">
        <f>$C$13</f>
        <v>4</v>
      </c>
      <c r="C25" s="6">
        <f>B25*10</f>
        <v>40</v>
      </c>
      <c r="D25" s="6">
        <f>B25*15</f>
        <v>60</v>
      </c>
      <c r="E25" s="6">
        <f>B25*20</f>
        <v>80</v>
      </c>
      <c r="F25" s="6">
        <f>B25*25</f>
        <v>100</v>
      </c>
      <c r="G25" s="6">
        <f>B25*30</f>
        <v>120</v>
      </c>
      <c r="H25" s="6">
        <f>$C$5</f>
        <v>60</v>
      </c>
      <c r="I25" s="7">
        <f>IFERROR(H25/E25-1,"N/D")</f>
        <v>-0.25</v>
      </c>
    </row>
    <row r="27" spans="1:9" ht="22" x14ac:dyDescent="0.3">
      <c r="A27" s="84" t="s">
        <v>939</v>
      </c>
      <c r="B27" s="84"/>
      <c r="C27" s="84"/>
    </row>
    <row r="28" spans="1:9" s="2" customFormat="1" x14ac:dyDescent="0.2">
      <c r="A28" s="9" t="s">
        <v>232</v>
      </c>
      <c r="B28" s="2" t="s">
        <v>196</v>
      </c>
      <c r="C28" s="2" t="s">
        <v>233</v>
      </c>
      <c r="D28" s="2" t="s">
        <v>234</v>
      </c>
      <c r="E28" s="2" t="s">
        <v>235</v>
      </c>
      <c r="F28" s="2" t="s">
        <v>236</v>
      </c>
      <c r="G28" s="2" t="s">
        <v>4</v>
      </c>
      <c r="H28" s="2" t="s">
        <v>219</v>
      </c>
      <c r="I28" s="2" t="s">
        <v>6</v>
      </c>
    </row>
    <row r="29" spans="1:9" s="4" customFormat="1" x14ac:dyDescent="0.2">
      <c r="A29" t="s">
        <v>237</v>
      </c>
      <c r="B29" s="5">
        <f>'Deal Fact Sheet '!C38</f>
        <v>45813</v>
      </c>
      <c r="C29" s="6">
        <f>$C$7</f>
        <v>9.9000000480000008</v>
      </c>
      <c r="D29" s="6">
        <f>$C$6</f>
        <v>0.89999898300000003</v>
      </c>
      <c r="E29" s="4" t="s">
        <v>284</v>
      </c>
      <c r="F29" s="4" t="s">
        <v>284</v>
      </c>
      <c r="G29" s="4" t="s">
        <v>265</v>
      </c>
      <c r="H29" s="4" t="s">
        <v>90</v>
      </c>
      <c r="I29" s="4" t="s">
        <v>285</v>
      </c>
    </row>
    <row r="30" spans="1:9" s="4" customFormat="1" x14ac:dyDescent="0.2">
      <c r="A30" t="s">
        <v>238</v>
      </c>
      <c r="B30" s="5">
        <f>'Deal Fact Sheet '!C41</f>
        <v>45974</v>
      </c>
      <c r="C30" s="6">
        <f>$C$9</f>
        <v>29.300000333</v>
      </c>
      <c r="D30" s="6">
        <f>$C$8</f>
        <v>2.300000297</v>
      </c>
      <c r="E30" s="6">
        <f>IFERROR(C30-C29,"N/D")</f>
        <v>19.400000284999997</v>
      </c>
      <c r="F30" s="7">
        <f>IFERROR(C30/C29-1,"N/D")</f>
        <v>1.9595959788827666</v>
      </c>
      <c r="G30" s="4" t="s">
        <v>265</v>
      </c>
      <c r="H30" s="4" t="s">
        <v>102</v>
      </c>
      <c r="I30" s="4" t="s">
        <v>286</v>
      </c>
    </row>
    <row r="31" spans="1:9" s="4" customFormat="1" x14ac:dyDescent="0.2">
      <c r="A31" t="s">
        <v>209</v>
      </c>
      <c r="B31" s="4" t="s">
        <v>287</v>
      </c>
      <c r="C31" s="6">
        <f>$C$11</f>
        <v>50</v>
      </c>
      <c r="D31" s="6">
        <f>$C$10</f>
        <v>2</v>
      </c>
      <c r="E31" s="6">
        <f>IFERROR(C31-C30,"N/D")</f>
        <v>20.699999667</v>
      </c>
      <c r="F31" s="7">
        <f>IFERROR(C31/C30-1,"N/D")</f>
        <v>0.70648462224370712</v>
      </c>
      <c r="G31" s="4" t="s">
        <v>272</v>
      </c>
      <c r="H31" s="4" t="s">
        <v>89</v>
      </c>
      <c r="I31" s="4" t="s">
        <v>288</v>
      </c>
    </row>
    <row r="32" spans="1:9" s="4" customFormat="1" x14ac:dyDescent="0.2">
      <c r="A32" t="s">
        <v>239</v>
      </c>
      <c r="B32" s="5">
        <f>'Deal Fact Sheet '!C5</f>
        <v>46189</v>
      </c>
      <c r="C32" s="6">
        <f>$C$5</f>
        <v>60</v>
      </c>
      <c r="D32" s="4" t="s">
        <v>284</v>
      </c>
      <c r="E32" s="6">
        <f>IFERROR(C32-C31,"N/D")</f>
        <v>10</v>
      </c>
      <c r="F32" s="7">
        <f>IFERROR(C32/C31-1,"N/D")</f>
        <v>0.19999999999999996</v>
      </c>
      <c r="G32" s="4" t="s">
        <v>262</v>
      </c>
      <c r="H32" s="4" t="s">
        <v>90</v>
      </c>
      <c r="I32" s="4" t="s">
        <v>289</v>
      </c>
    </row>
    <row r="34" spans="1:9" ht="22" x14ac:dyDescent="0.3">
      <c r="A34" s="84" t="s">
        <v>240</v>
      </c>
      <c r="B34" s="84"/>
      <c r="C34" s="84"/>
    </row>
    <row r="35" spans="1:9" s="2" customFormat="1" x14ac:dyDescent="0.2">
      <c r="A35" s="2" t="s">
        <v>241</v>
      </c>
      <c r="B35" s="2" t="s">
        <v>242</v>
      </c>
      <c r="C35" s="2" t="s">
        <v>243</v>
      </c>
      <c r="D35" s="2" t="s">
        <v>244</v>
      </c>
      <c r="E35" s="2" t="s">
        <v>245</v>
      </c>
      <c r="F35" s="2" t="s">
        <v>246</v>
      </c>
      <c r="G35" s="2" t="s">
        <v>218</v>
      </c>
      <c r="H35" s="2" t="s">
        <v>5</v>
      </c>
      <c r="I35" s="2" t="s">
        <v>6</v>
      </c>
    </row>
    <row r="36" spans="1:9" s="4" customFormat="1" x14ac:dyDescent="0.2">
      <c r="A36" t="s">
        <v>247</v>
      </c>
      <c r="B36" s="6">
        <f>$C$9</f>
        <v>29.300000333</v>
      </c>
      <c r="C36" s="6">
        <f>$C$11</f>
        <v>50</v>
      </c>
      <c r="D36" s="6">
        <f>C36-B36</f>
        <v>20.699999667</v>
      </c>
      <c r="E36" s="7">
        <f>IFERROR(C36/B36-1,"N/D")</f>
        <v>0.70648462224370712</v>
      </c>
      <c r="F36" s="7">
        <f>IFERROR(D36/($C$5-$C$9),"N/D")</f>
        <v>0.6742670974440047</v>
      </c>
      <c r="G36" s="4" t="s">
        <v>99</v>
      </c>
      <c r="H36" s="4" t="s">
        <v>89</v>
      </c>
      <c r="I36" s="4" t="s">
        <v>290</v>
      </c>
    </row>
    <row r="37" spans="1:9" s="4" customFormat="1" x14ac:dyDescent="0.2">
      <c r="A37" t="s">
        <v>248</v>
      </c>
      <c r="B37" s="6">
        <f>'Deal Fact Sheet '!C45</f>
        <v>50</v>
      </c>
      <c r="C37" s="6">
        <f>$C$5</f>
        <v>60</v>
      </c>
      <c r="D37" s="6">
        <f>C37-B37</f>
        <v>10</v>
      </c>
      <c r="E37" s="7">
        <f>IFERROR(C37/B37-1,"N/D")</f>
        <v>0.19999999999999996</v>
      </c>
      <c r="F37" s="7">
        <f>IFERROR(D37/($C$5-$C$9),"N/D")</f>
        <v>0.32573290255599535</v>
      </c>
      <c r="G37" s="4" t="s">
        <v>291</v>
      </c>
      <c r="H37" s="4" t="s">
        <v>292</v>
      </c>
      <c r="I37" s="4" t="s">
        <v>293</v>
      </c>
    </row>
    <row r="38" spans="1:9" s="4" customFormat="1" x14ac:dyDescent="0.2">
      <c r="A38" t="s">
        <v>249</v>
      </c>
      <c r="B38" s="6">
        <f>$C$9</f>
        <v>29.300000333</v>
      </c>
      <c r="C38" s="6">
        <f>$C$5</f>
        <v>60</v>
      </c>
      <c r="D38" s="6">
        <f>C38-B38</f>
        <v>30.699999667</v>
      </c>
      <c r="E38" s="7">
        <f>IFERROR(C38/B38-1,"N/D")</f>
        <v>1.0477815466924487</v>
      </c>
      <c r="F38" s="7">
        <f>SUM(F36:F37)</f>
        <v>1</v>
      </c>
      <c r="G38" s="4" t="s">
        <v>100</v>
      </c>
      <c r="H38" s="4" t="s">
        <v>102</v>
      </c>
      <c r="I38" s="4" t="s">
        <v>294</v>
      </c>
    </row>
    <row r="40" spans="1:9" ht="22" x14ac:dyDescent="0.3">
      <c r="A40" s="3" t="s">
        <v>250</v>
      </c>
    </row>
    <row r="41" spans="1:9" s="2" customFormat="1" x14ac:dyDescent="0.2">
      <c r="A41" s="2" t="s">
        <v>251</v>
      </c>
      <c r="B41" s="2" t="s">
        <v>213</v>
      </c>
      <c r="C41" s="2" t="s">
        <v>252</v>
      </c>
      <c r="D41" s="2" t="s">
        <v>253</v>
      </c>
      <c r="E41" s="2" t="s">
        <v>254</v>
      </c>
      <c r="F41" s="2" t="s">
        <v>255</v>
      </c>
      <c r="G41" s="2" t="s">
        <v>256</v>
      </c>
      <c r="H41" s="2" t="s">
        <v>219</v>
      </c>
      <c r="I41" s="2" t="s">
        <v>257</v>
      </c>
    </row>
    <row r="42" spans="1:9" s="4" customFormat="1" x14ac:dyDescent="0.2">
      <c r="A42" t="s">
        <v>258</v>
      </c>
      <c r="B42" s="6">
        <f>$C$12</f>
        <v>1</v>
      </c>
      <c r="C42" s="6">
        <v>20</v>
      </c>
      <c r="D42" s="6">
        <f>B42*C42</f>
        <v>20</v>
      </c>
      <c r="E42" s="7">
        <f>IFERROR(D42/$C$5-1,"N/D")</f>
        <v>-0.66666666666666674</v>
      </c>
      <c r="F42" s="7">
        <v>0.2</v>
      </c>
      <c r="G42" s="6">
        <f>D42*F42</f>
        <v>4</v>
      </c>
      <c r="H42" s="4" t="s">
        <v>89</v>
      </c>
      <c r="I42" s="4" t="s">
        <v>295</v>
      </c>
    </row>
    <row r="43" spans="1:9" s="4" customFormat="1" x14ac:dyDescent="0.2">
      <c r="A43" t="s">
        <v>259</v>
      </c>
      <c r="B43" s="6">
        <f>'Deal Fact Sheet '!C47</f>
        <v>2</v>
      </c>
      <c r="C43" s="6">
        <v>25</v>
      </c>
      <c r="D43" s="6">
        <f>B43*C43</f>
        <v>50</v>
      </c>
      <c r="E43" s="7">
        <f>IFERROR(D43/$C$5-1,"N/D")</f>
        <v>-0.16666666666666663</v>
      </c>
      <c r="F43" s="7">
        <v>0.5</v>
      </c>
      <c r="G43" s="6">
        <f>D43*F43</f>
        <v>25</v>
      </c>
      <c r="H43" s="4" t="s">
        <v>89</v>
      </c>
      <c r="I43" s="4" t="s">
        <v>296</v>
      </c>
    </row>
    <row r="44" spans="1:9" s="4" customFormat="1" x14ac:dyDescent="0.2">
      <c r="A44" t="s">
        <v>260</v>
      </c>
      <c r="B44" s="6">
        <f>$C$13</f>
        <v>4</v>
      </c>
      <c r="C44" s="6">
        <v>20</v>
      </c>
      <c r="D44" s="6">
        <f>B44*C44</f>
        <v>80</v>
      </c>
      <c r="E44" s="7">
        <f>IFERROR(D44/$C$5-1,"N/D")</f>
        <v>0.33333333333333326</v>
      </c>
      <c r="F44" s="7">
        <v>0.3</v>
      </c>
      <c r="G44" s="6">
        <f>D44*F44</f>
        <v>24</v>
      </c>
      <c r="H44" s="4" t="s">
        <v>279</v>
      </c>
      <c r="I44" s="4" t="s">
        <v>297</v>
      </c>
    </row>
    <row r="46" spans="1:9" ht="22" x14ac:dyDescent="0.3">
      <c r="A46" s="3" t="s">
        <v>298</v>
      </c>
    </row>
    <row r="47" spans="1:9" s="1" customFormat="1" x14ac:dyDescent="0.2">
      <c r="A47" s="1" t="s">
        <v>299</v>
      </c>
      <c r="B47" s="1" t="s">
        <v>300</v>
      </c>
      <c r="C47" s="1" t="s">
        <v>4</v>
      </c>
      <c r="D47" s="1" t="s">
        <v>219</v>
      </c>
      <c r="E47" s="1" t="s">
        <v>6</v>
      </c>
    </row>
    <row r="48" spans="1:9" x14ac:dyDescent="0.2">
      <c r="A48" t="s">
        <v>301</v>
      </c>
      <c r="B48" s="12">
        <f>D17</f>
        <v>60</v>
      </c>
      <c r="C48" s="4" t="s">
        <v>100</v>
      </c>
      <c r="D48" s="4" t="s">
        <v>89</v>
      </c>
      <c r="E48" t="s">
        <v>309</v>
      </c>
    </row>
    <row r="49" spans="1:5" x14ac:dyDescent="0.2">
      <c r="A49" t="s">
        <v>302</v>
      </c>
      <c r="B49" s="12">
        <f>D18</f>
        <v>30</v>
      </c>
      <c r="C49" s="4" t="s">
        <v>100</v>
      </c>
      <c r="D49" s="4" t="s">
        <v>89</v>
      </c>
      <c r="E49" t="s">
        <v>310</v>
      </c>
    </row>
    <row r="50" spans="1:5" x14ac:dyDescent="0.2">
      <c r="A50" t="s">
        <v>303</v>
      </c>
      <c r="B50" s="12">
        <f>D19</f>
        <v>15</v>
      </c>
      <c r="C50" s="4" t="s">
        <v>100</v>
      </c>
      <c r="D50" s="4" t="s">
        <v>279</v>
      </c>
      <c r="E50" t="s">
        <v>311</v>
      </c>
    </row>
    <row r="51" spans="1:5" x14ac:dyDescent="0.2">
      <c r="A51" t="s">
        <v>304</v>
      </c>
      <c r="B51" s="4">
        <f>IFERROR($C$5/$C$9-1,"N/D")</f>
        <v>1.0477815466924487</v>
      </c>
      <c r="C51" s="4" t="s">
        <v>100</v>
      </c>
      <c r="D51" s="4" t="s">
        <v>102</v>
      </c>
      <c r="E51" t="s">
        <v>312</v>
      </c>
    </row>
    <row r="52" spans="1:5" x14ac:dyDescent="0.2">
      <c r="A52" t="s">
        <v>305</v>
      </c>
      <c r="B52" s="7">
        <f>F32</f>
        <v>0.19999999999999996</v>
      </c>
      <c r="C52" s="4" t="s">
        <v>100</v>
      </c>
      <c r="D52" s="4" t="s">
        <v>89</v>
      </c>
      <c r="E52" t="s">
        <v>313</v>
      </c>
    </row>
    <row r="53" spans="1:5" x14ac:dyDescent="0.2">
      <c r="A53" t="s">
        <v>306</v>
      </c>
      <c r="B53" s="6">
        <f>E17</f>
        <v>3</v>
      </c>
      <c r="C53" s="4" t="s">
        <v>100</v>
      </c>
      <c r="D53" s="4" t="s">
        <v>314</v>
      </c>
      <c r="E53" t="s">
        <v>315</v>
      </c>
    </row>
    <row r="54" spans="1:5" x14ac:dyDescent="0.2">
      <c r="A54" t="s">
        <v>307</v>
      </c>
      <c r="B54" s="6">
        <f>F17</f>
        <v>2.4</v>
      </c>
      <c r="C54" s="4" t="s">
        <v>100</v>
      </c>
      <c r="D54" s="4" t="s">
        <v>314</v>
      </c>
      <c r="E54" t="s">
        <v>316</v>
      </c>
    </row>
    <row r="55" spans="1:5" x14ac:dyDescent="0.2">
      <c r="A55" t="s">
        <v>308</v>
      </c>
      <c r="B55" s="6">
        <f>SUM(G42:G44)</f>
        <v>53</v>
      </c>
      <c r="C55" s="4" t="s">
        <v>317</v>
      </c>
      <c r="D55" s="4" t="s">
        <v>314</v>
      </c>
      <c r="E55" t="s">
        <v>318</v>
      </c>
    </row>
  </sheetData>
  <mergeCells count="4">
    <mergeCell ref="A1:H1"/>
    <mergeCell ref="A27:C27"/>
    <mergeCell ref="A34:C34"/>
    <mergeCell ref="A21:C21"/>
  </mergeCells>
  <pageMargins left="0.7" right="0.7" top="0.75" bottom="0.75" header="0.3" footer="0.3"/>
  <ignoredErrors>
    <ignoredError sqref="B37"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9DD90-9BD6-3D4C-AE29-E63BFC4D749A}">
  <dimension ref="A1:O35"/>
  <sheetViews>
    <sheetView showGridLines="0" workbookViewId="0">
      <pane ySplit="1" topLeftCell="A4" activePane="bottomLeft" state="frozen"/>
      <selection pane="bottomLeft" sqref="A1:G1"/>
    </sheetView>
  </sheetViews>
  <sheetFormatPr baseColWidth="10" defaultRowHeight="16" x14ac:dyDescent="0.2"/>
  <cols>
    <col min="1" max="1" width="19.1640625" customWidth="1"/>
    <col min="3" max="3" width="20.6640625" customWidth="1"/>
    <col min="4" max="4" width="16" customWidth="1"/>
    <col min="5" max="5" width="26.6640625" customWidth="1"/>
    <col min="6" max="6" width="27.5" customWidth="1"/>
    <col min="7" max="7" width="17" customWidth="1"/>
    <col min="8" max="8" width="16.33203125" customWidth="1"/>
    <col min="9" max="9" width="14.1640625" customWidth="1"/>
    <col min="10" max="10" width="11.5" style="4" customWidth="1"/>
    <col min="11" max="11" width="16.5" customWidth="1"/>
  </cols>
  <sheetData>
    <row r="1" spans="1:15" s="1" customFormat="1" ht="22" x14ac:dyDescent="0.3">
      <c r="A1" s="78" t="s">
        <v>319</v>
      </c>
      <c r="B1" s="78"/>
      <c r="C1" s="78"/>
      <c r="D1" s="78"/>
      <c r="E1" s="78"/>
      <c r="F1" s="78"/>
      <c r="G1" s="78"/>
      <c r="J1" s="2"/>
    </row>
    <row r="3" spans="1:15" ht="22" x14ac:dyDescent="0.3">
      <c r="A3" s="84" t="s">
        <v>380</v>
      </c>
      <c r="B3" s="84"/>
      <c r="C3" s="84"/>
      <c r="D3" s="84"/>
    </row>
    <row r="4" spans="1:15" s="2" customFormat="1" x14ac:dyDescent="0.2">
      <c r="A4" s="2" t="s">
        <v>320</v>
      </c>
      <c r="B4" s="2" t="s">
        <v>321</v>
      </c>
      <c r="C4" s="2" t="s">
        <v>322</v>
      </c>
      <c r="D4" s="2" t="s">
        <v>323</v>
      </c>
      <c r="E4" s="2" t="s">
        <v>324</v>
      </c>
      <c r="F4" s="2" t="s">
        <v>325</v>
      </c>
      <c r="G4" s="2" t="s">
        <v>326</v>
      </c>
      <c r="H4" s="2" t="s">
        <v>342</v>
      </c>
      <c r="I4" s="2" t="s">
        <v>327</v>
      </c>
      <c r="J4" s="2" t="s">
        <v>328</v>
      </c>
      <c r="K4" s="2" t="s">
        <v>329</v>
      </c>
      <c r="L4" s="2" t="s">
        <v>218</v>
      </c>
      <c r="M4" s="2" t="s">
        <v>5</v>
      </c>
      <c r="N4" s="2" t="s">
        <v>330</v>
      </c>
      <c r="O4" s="2" t="s">
        <v>331</v>
      </c>
    </row>
    <row r="5" spans="1:15" x14ac:dyDescent="0.2">
      <c r="A5" t="s">
        <v>332</v>
      </c>
      <c r="B5" s="4" t="str" cm="1">
        <f t="array" ref="B5">_xll.PBMATCHSYMBOL(A5)</f>
        <v>NAS:GTLB</v>
      </c>
      <c r="C5" s="4" t="str" cm="1">
        <f t="array" ref="C5">_xll.PBMATCHPBID(A5)</f>
        <v>84804-13</v>
      </c>
      <c r="D5" s="6" cm="1">
        <f t="array" ref="D5">_xll.PBM(C5,"Market Cap","16-Jun-2026","16-Jun-2026","0","d","asc","USD","/1000000000")</f>
        <v>4.6971090000000002</v>
      </c>
      <c r="E5" s="6" cm="1">
        <f t="array" ref="E5">_xll.PBF(C5,"EV","NTM","16-Jun-2026","","USD","")/1000000000</f>
        <v>3.3858259999999998</v>
      </c>
      <c r="F5" s="6" cm="1">
        <f t="array" ref="F5">_xll.PBF(C5,"Total Revenue","NTM","16-Jun-2026","","USD","")/1000000000</f>
        <v>1.0048729999999999</v>
      </c>
      <c r="G5" s="15" cm="1">
        <f t="array" ref="G5">_xll.PBF(C5,"Revenue % Growth","NTM","16-Jun-2026","","USD","")</f>
        <v>0.24895503317917256</v>
      </c>
      <c r="H5" s="6" cm="1">
        <f t="array" ref="H5">_xll.PBF(C5,"EV to Revenue","NTM","16-Jun-2026","","USD","")</f>
        <v>3.3694068802724324</v>
      </c>
      <c r="I5" s="6" cm="1">
        <f t="array" ref="I5">_xll.PBF(C5,"EBITDA Margin","NTM","16-Jun-2026","","USD","")</f>
        <v>-5.2350894093084396E-2</v>
      </c>
      <c r="J5" s="14">
        <f t="shared" ref="J5:J14" si="0">IFERROR(G5+I5,"N/D")</f>
        <v>0.19660413908608815</v>
      </c>
      <c r="K5" s="14">
        <v>0.2</v>
      </c>
      <c r="L5" s="4" t="s">
        <v>95</v>
      </c>
      <c r="M5" s="4" t="s">
        <v>90</v>
      </c>
      <c r="N5" s="4" t="s">
        <v>343</v>
      </c>
      <c r="O5" t="s">
        <v>361</v>
      </c>
    </row>
    <row r="6" spans="1:15" x14ac:dyDescent="0.2">
      <c r="A6" t="s">
        <v>333</v>
      </c>
      <c r="B6" s="4" t="str" cm="1">
        <f t="array" ref="B6">_xll.PBMATCHSYMBOL(A6)</f>
        <v>NAS:TEAM</v>
      </c>
      <c r="C6" s="4" t="str" cm="1">
        <f t="array" ref="C6">_xll.PBMATCHPBID(A6)</f>
        <v>45245-62</v>
      </c>
      <c r="D6" s="6" cm="1">
        <f t="array" ref="D6">_xll.PBM(C6,"Market Cap","16-Jun-2026","16-Jun-2026","0","d","asc","USD","/1000000000")</f>
        <v>22.318883462999999</v>
      </c>
      <c r="E6" s="6" cm="1">
        <f t="array" ref="E6">_xll.PBF(C6,"EV","NTM","16-Jun-2026","","USD","")/1000000000</f>
        <v>22.425559462999999</v>
      </c>
      <c r="F6" s="6" cm="1">
        <f t="array" ref="F6">_xll.PBF(C6,"Total Revenue","NTM","16-Jun-2026","","USD","")/1000000000</f>
        <v>6.1901830000000002</v>
      </c>
      <c r="G6" s="15" cm="1">
        <f t="array" ref="G6">_xll.PBF(C6,"Revenue % Growth","NTM","16-Jun-2026","","USD","")</f>
        <v>0.24737947224713097</v>
      </c>
      <c r="H6" s="6" cm="1">
        <f t="array" ref="H6">_xll.PBF(C6,"EV to Revenue","NTM","16-Jun-2026","","USD","")</f>
        <v>3.6227619543719465</v>
      </c>
      <c r="I6" s="6" cm="1">
        <f t="array" ref="I6">_xll.PBF(C6,"EBITDA Margin","NTM","16-Jun-2026","","USD","")</f>
        <v>-1.8099949549149032E-2</v>
      </c>
      <c r="J6" s="14">
        <f t="shared" si="0"/>
        <v>0.22927952269798194</v>
      </c>
      <c r="K6" s="14">
        <v>0.15</v>
      </c>
      <c r="L6" s="4" t="s">
        <v>95</v>
      </c>
      <c r="M6" s="4" t="s">
        <v>90</v>
      </c>
      <c r="N6" s="4" t="s">
        <v>343</v>
      </c>
      <c r="O6" t="s">
        <v>362</v>
      </c>
    </row>
    <row r="7" spans="1:15" x14ac:dyDescent="0.2">
      <c r="A7" t="s">
        <v>334</v>
      </c>
      <c r="B7" s="4" t="str" cm="1">
        <f t="array" ref="B7">_xll.PBMATCHSYMBOL(A7)</f>
        <v>NAS:DDOG</v>
      </c>
      <c r="C7" s="4" t="str" cm="1">
        <f t="array" ref="C7">_xll.PBMATCHPBID(A7)</f>
        <v>53904-79</v>
      </c>
      <c r="D7" s="6" cm="1">
        <f t="array" ref="D7">_xll.PBM(C7,"Market Cap","16-Jun-2026","16-Jun-2026","0","d","asc","USD","/1000000000")</f>
        <v>82.265959280000004</v>
      </c>
      <c r="E7" s="6" cm="1">
        <f t="array" ref="E7">_xll.PBF(C7,"EV","NTM","16-Jun-2026","","USD","")/1000000000</f>
        <v>78.792394279999996</v>
      </c>
      <c r="F7" s="6" cm="1">
        <f t="array" ref="F7">_xll.PBF(C7,"Total Revenue","NTM","16-Jun-2026","","USD","")/1000000000</f>
        <v>3.672031</v>
      </c>
      <c r="G7" s="15" cm="1">
        <f t="array" ref="G7">_xll.PBF(C7,"Revenue % Growth","NTM","16-Jun-2026","","USD","")</f>
        <v>0.29544323223058133</v>
      </c>
      <c r="H7" s="6" cm="1">
        <f t="array" ref="H7">_xll.PBF(C7,"EV to Revenue","NTM","16-Jun-2026","","USD","")</f>
        <v>21.457442565163529</v>
      </c>
      <c r="I7" s="6" cm="1">
        <f t="array" ref="I7">_xll.PBF(C7,"EBITDA Margin","NTM","16-Jun-2026","","USD","")</f>
        <v>9.7058004139943255E-3</v>
      </c>
      <c r="J7" s="14">
        <f t="shared" si="0"/>
        <v>0.30514903264457566</v>
      </c>
      <c r="K7" s="14">
        <v>0.15</v>
      </c>
      <c r="L7" s="4" t="s">
        <v>95</v>
      </c>
      <c r="M7" s="4" t="s">
        <v>90</v>
      </c>
      <c r="N7" s="4" t="s">
        <v>343</v>
      </c>
      <c r="O7" t="s">
        <v>363</v>
      </c>
    </row>
    <row r="8" spans="1:15" x14ac:dyDescent="0.2">
      <c r="A8" t="s">
        <v>335</v>
      </c>
      <c r="B8" s="4" t="str" cm="1">
        <f t="array" ref="B8">_xll.PBMATCHSYMBOL(A8)</f>
        <v>NYS:NET</v>
      </c>
      <c r="C8" s="4" t="str" cm="1">
        <f t="array" ref="C8">_xll.PBMATCHPBID(A8)</f>
        <v>52368-49</v>
      </c>
      <c r="D8" s="6" cm="1">
        <f t="array" ref="D8">_xll.PBM(C8,"Market Cap","16-Jun-2026","16-Jun-2026","0","d","asc","USD","/1000000000")</f>
        <v>81.980391096999995</v>
      </c>
      <c r="E8" s="6" cm="1">
        <f t="array" ref="E8">_xll.PBF(C8,"EV","NTM","16-Jun-2026","","USD","")/1000000000</f>
        <v>81.341049096999996</v>
      </c>
      <c r="F8" s="6" cm="1">
        <f t="array" ref="F8">_xll.PBF(C8,"Total Revenue","NTM","16-Jun-2026","","USD","")/1000000000</f>
        <v>2.328605</v>
      </c>
      <c r="G8" s="15" cm="1">
        <f t="array" ref="G8">_xll.PBF(C8,"Revenue % Growth","NTM","16-Jun-2026","","USD","")</f>
        <v>0.31551354689056232</v>
      </c>
      <c r="H8" s="6" cm="1">
        <f t="array" ref="H8">_xll.PBF(C8,"EV to Revenue","NTM","16-Jun-2026","","USD","")</f>
        <v>34.931235266178675</v>
      </c>
      <c r="I8" s="6" cm="1">
        <f t="array" ref="I8">_xll.PBF(C8,"EBITDA Margin","NTM","16-Jun-2026","","USD","")</f>
        <v>-5.1958146615677624E-3</v>
      </c>
      <c r="J8" s="14">
        <f t="shared" si="0"/>
        <v>0.31031773222899456</v>
      </c>
      <c r="K8" s="14">
        <v>0.1</v>
      </c>
      <c r="L8" s="4" t="s">
        <v>95</v>
      </c>
      <c r="M8" s="4" t="s">
        <v>90</v>
      </c>
      <c r="N8" s="4" t="s">
        <v>343</v>
      </c>
      <c r="O8" t="s">
        <v>364</v>
      </c>
    </row>
    <row r="9" spans="1:15" x14ac:dyDescent="0.2">
      <c r="A9" t="s">
        <v>336</v>
      </c>
      <c r="B9" s="4" t="str" cm="1">
        <f t="array" ref="B9">_xll.PBMATCHSYMBOL(A9)</f>
        <v>NAS:MDB</v>
      </c>
      <c r="C9" s="4" t="str" cm="1">
        <f t="array" ref="C9">_xll.PBMATCHPBID(A9)</f>
        <v>51351-85</v>
      </c>
      <c r="D9" s="6" cm="1">
        <f t="array" ref="D9">_xll.PBM(C9,"Market Cap","16-Jun-2026","16-Jun-2026","0","d","asc","USD","/1000000000")</f>
        <v>28.055460456999999</v>
      </c>
      <c r="E9" s="6" cm="1">
        <f t="array" ref="E9">_xll.PBF(C9,"EV","NTM","16-Jun-2026","","USD","")/1000000000</f>
        <v>25.658734457000001</v>
      </c>
      <c r="F9" s="6" cm="1">
        <f t="array" ref="F9">_xll.PBF(C9,"Total Revenue","NTM","16-Jun-2026","","USD","")/1000000000</f>
        <v>2.6023990000000001</v>
      </c>
      <c r="G9" s="15" cm="1">
        <f t="array" ref="G9">_xll.PBF(C9,"Revenue % Growth","NTM","16-Jun-2026","","USD","")</f>
        <v>0.23635514533734692</v>
      </c>
      <c r="H9" s="6" cm="1">
        <f t="array" ref="H9">_xll.PBF(C9,"EV to Revenue","NTM","16-Jun-2026","","USD","")</f>
        <v>9.8596466018469879</v>
      </c>
      <c r="I9" s="6" cm="1">
        <f t="array" ref="I9">_xll.PBF(C9,"EBITDA Margin","NTM","16-Jun-2026","","USD","")</f>
        <v>-2.2158400767906844E-2</v>
      </c>
      <c r="J9" s="14">
        <f t="shared" si="0"/>
        <v>0.21419674456944007</v>
      </c>
      <c r="K9" s="14">
        <v>0.15</v>
      </c>
      <c r="L9" s="4" t="s">
        <v>95</v>
      </c>
      <c r="M9" s="4" t="s">
        <v>90</v>
      </c>
      <c r="N9" s="4" t="s">
        <v>343</v>
      </c>
      <c r="O9" t="s">
        <v>365</v>
      </c>
    </row>
    <row r="10" spans="1:15" x14ac:dyDescent="0.2">
      <c r="A10" t="s">
        <v>337</v>
      </c>
      <c r="B10" s="4" t="str" cm="1">
        <f t="array" ref="B10">_xll.PBMATCHSYMBOL(A10)</f>
        <v>NYS:SNOW</v>
      </c>
      <c r="C10" s="4" t="str" cm="1">
        <f t="array" ref="C10">_xll.PBMATCHPBID(A10)</f>
        <v>61489-18</v>
      </c>
      <c r="D10" s="6" cm="1">
        <f t="array" ref="D10">_xll.PBM(C10,"Market Cap","16-Jun-2026","16-Jun-2026","0","d","asc","USD","/1000000000")</f>
        <v>82.601712000000006</v>
      </c>
      <c r="E10" s="6" cm="1">
        <f t="array" ref="E10">_xll.PBF(C10,"EV","NTM","16-Jun-2026","","USD","")/1000000000</f>
        <v>82.418808999999996</v>
      </c>
      <c r="F10" s="6" cm="1">
        <f t="array" ref="F10">_xll.PBF(C10,"Total Revenue","NTM","16-Jun-2026","","USD","")/1000000000</f>
        <v>5.0328229999999996</v>
      </c>
      <c r="G10" s="15" cm="1">
        <f t="array" ref="G10">_xll.PBF(C10,"Revenue % Growth","NTM","16-Jun-2026","","USD","")</f>
        <v>0.31071256778742229</v>
      </c>
      <c r="H10" s="6" cm="1">
        <f t="array" ref="H10">_xll.PBF(C10,"EV to Revenue","NTM","16-Jun-2026","","USD","")</f>
        <v>16.376258215319712</v>
      </c>
      <c r="I10" s="6" cm="1">
        <f t="array" ref="I10">_xll.PBF(C10,"EBITDA Margin","NTM","16-Jun-2026","","USD","")</f>
        <v>-0.22161200582655102</v>
      </c>
      <c r="J10" s="14">
        <f t="shared" si="0"/>
        <v>8.9100561960871266E-2</v>
      </c>
      <c r="K10" s="14">
        <v>0.1</v>
      </c>
      <c r="L10" s="4" t="s">
        <v>95</v>
      </c>
      <c r="M10" s="4" t="s">
        <v>90</v>
      </c>
      <c r="N10" s="4" t="s">
        <v>343</v>
      </c>
      <c r="O10" t="s">
        <v>366</v>
      </c>
    </row>
    <row r="11" spans="1:15" x14ac:dyDescent="0.2">
      <c r="A11" t="s">
        <v>339</v>
      </c>
      <c r="B11" s="4" t="str" cm="1">
        <f t="array" ref="B11">_xll.PBMATCHSYMBOL(A11)</f>
        <v>NYS:ESTC</v>
      </c>
      <c r="C11" s="4" t="str" cm="1">
        <f t="array" ref="C11">_xll.PBMATCHPBID(A11)</f>
        <v>55574-02</v>
      </c>
      <c r="D11" s="6" cm="1">
        <f t="array" ref="D11">_xll.PBM(C11,"Market Cap","16-Jun-2026","16-Jun-2026","0","d","asc","USD","/1000000000")</f>
        <v>6.2485326600000004</v>
      </c>
      <c r="E11" s="6" cm="1">
        <f t="array" ref="E11">_xll.PBF(C11,"EV","NTM","16-Jun-2026","","USD","")/1000000000</f>
        <v>5.4698336599999999</v>
      </c>
      <c r="F11" s="6" cm="1">
        <f t="array" ref="F11">_xll.PBF(C11,"Total Revenue","NTM","16-Jun-2026","","USD","")/1000000000</f>
        <v>1.739331</v>
      </c>
      <c r="G11" s="15" cm="1">
        <f t="array" ref="G11">_xll.PBF(C11,"Revenue % Growth","NTM","16-Jun-2026","","USD","")</f>
        <v>0.17261220956572387</v>
      </c>
      <c r="H11" s="6" cm="1">
        <f t="array" ref="H11">_xll.PBF(C11,"EV to Revenue","NTM","16-Jun-2026","","USD","")</f>
        <v>3.1447916813993428</v>
      </c>
      <c r="I11" s="6" cm="1">
        <f t="array" ref="I11">_xll.PBF(C11,"EBITDA Margin","NTM","16-Jun-2026","","USD","")</f>
        <v>1.9935825900877981E-2</v>
      </c>
      <c r="J11" s="14">
        <f t="shared" si="0"/>
        <v>0.19254803546660185</v>
      </c>
      <c r="K11" s="14">
        <v>0.1</v>
      </c>
      <c r="L11" s="4" t="s">
        <v>95</v>
      </c>
      <c r="M11" s="4" t="s">
        <v>90</v>
      </c>
      <c r="N11" s="4" t="s">
        <v>343</v>
      </c>
      <c r="O11" t="s">
        <v>367</v>
      </c>
    </row>
    <row r="12" spans="1:15" x14ac:dyDescent="0.2">
      <c r="A12" t="s">
        <v>338</v>
      </c>
      <c r="B12" s="4" t="str" cm="1">
        <f t="array" ref="B12">_xll.PBMATCHSYMBOL(A12)</f>
        <v>#NOMATCH</v>
      </c>
      <c r="C12" s="4" t="str" cm="1">
        <f t="array" ref="C12">_xll.PBMATCHPBID(A12)</f>
        <v>99264-61</v>
      </c>
      <c r="D12" s="6" t="e" cm="1">
        <f t="array" ref="D12">_xll.PBM(C12,"Market Cap","16-Jun-2026","16-Jun-2026","0","d","asc","USD","/1000000000")</f>
        <v>#N/A</v>
      </c>
      <c r="E12" s="6" t="e" cm="1">
        <f t="array" ref="E12">_xll.PBF(C12,"EV","NTM","16-Jun-2026","","USD","")/1000000000</f>
        <v>#N/A</v>
      </c>
      <c r="F12" s="6" cm="1">
        <f t="array" ref="F12">_xll.PBF(C12,"Total Revenue","NTM","16-Jun-2026","","USD","")/1000000000</f>
        <v>1.1667479999999999</v>
      </c>
      <c r="G12" s="15" cm="1">
        <f t="array" ref="G12">_xll.PBF(C12,"Revenue % Growth","NTM","16-Jun-2026","","USD","")</f>
        <v>0.21076914455783369</v>
      </c>
      <c r="H12" s="6" t="e" cm="1">
        <f t="array" ref="H12">_xll.PBF(C12,"EV to Revenue","NTM","16-Jun-2026","","USD","")</f>
        <v>#N/A</v>
      </c>
      <c r="I12" s="6" cm="1">
        <f t="array" ref="I12">_xll.PBF(C12,"EBITDA Margin","NTM","16-Jun-2026","","USD","")</f>
        <v>-0.23238265675192929</v>
      </c>
      <c r="J12" s="14">
        <f t="shared" si="0"/>
        <v>-2.1613512194095602E-2</v>
      </c>
      <c r="K12" s="14">
        <v>0</v>
      </c>
      <c r="L12" s="4" t="s">
        <v>95</v>
      </c>
      <c r="M12" s="4" t="s">
        <v>103</v>
      </c>
      <c r="N12" s="4" t="s">
        <v>344</v>
      </c>
      <c r="O12" t="s">
        <v>368</v>
      </c>
    </row>
    <row r="13" spans="1:15" x14ac:dyDescent="0.2">
      <c r="A13" t="s">
        <v>340</v>
      </c>
      <c r="B13" s="4" t="str" cm="1">
        <f t="array" ref="B13">_xll.PBMATCHSYMBOL(A13)</f>
        <v>#NOMATCH</v>
      </c>
      <c r="C13" s="4" t="str" cm="1">
        <f t="array" ref="C13">_xll.PBMATCHPBID(A13)</f>
        <v>54525-52</v>
      </c>
      <c r="D13" s="6" t="e" cm="1">
        <f t="array" ref="D13">_xll.PBM(C13,"Market Cap","16-Jun-2026","16-Jun-2026","0","d","asc","USD","/1000000000")</f>
        <v>#N/A</v>
      </c>
      <c r="E13" s="6" t="e" cm="1">
        <f t="array" ref="E13">_xll.PBF(C13,"EV","NTM","16-Jun-2026","","USD","")/1000000000</f>
        <v>#N/A</v>
      </c>
      <c r="F13" s="6" t="e" cm="1">
        <f t="array" ref="F13">_xll.PBF(C13,"Total Revenue","NTM","16-Jun-2026","","USD","")/1000000000</f>
        <v>#N/A</v>
      </c>
      <c r="G13" s="15" t="e" cm="1">
        <f t="array" ref="G13">_xll.PBF(C13,"Revenue % Growth","NTM","16-Jun-2026","","USD","")</f>
        <v>#N/A</v>
      </c>
      <c r="H13" s="6" t="e" cm="1">
        <f t="array" ref="H13">_xll.PBF(C13,"EV to Revenue","NTM","16-Jun-2026","","USD","")</f>
        <v>#N/A</v>
      </c>
      <c r="I13" s="6" t="e" cm="1">
        <f t="array" ref="I13">_xll.PBF(C13,"EBITDA Margin","NTM","16-Jun-2026","","USD","")</f>
        <v>#N/A</v>
      </c>
      <c r="J13" s="14" t="str">
        <f t="shared" si="0"/>
        <v>N/D</v>
      </c>
      <c r="K13" s="14">
        <v>0</v>
      </c>
      <c r="L13" s="4" t="s">
        <v>95</v>
      </c>
      <c r="M13" s="4" t="s">
        <v>103</v>
      </c>
      <c r="N13" s="4" t="s">
        <v>344</v>
      </c>
      <c r="O13" t="s">
        <v>369</v>
      </c>
    </row>
    <row r="14" spans="1:15" x14ac:dyDescent="0.2">
      <c r="A14" t="s">
        <v>341</v>
      </c>
      <c r="B14" s="4" t="str" cm="1">
        <f t="array" ref="B14">_xll.PBMATCHSYMBOL(A14)</f>
        <v>#NOMATCH</v>
      </c>
      <c r="C14" s="4" t="str" cm="1">
        <f t="array" ref="C14">_xll.PBMATCHPBID(A14)</f>
        <v>59113-45</v>
      </c>
      <c r="D14" s="6" t="e" cm="1">
        <f t="array" ref="D14">_xll.PBM(C14,"Market Cap","16-Jun-2026","16-Jun-2026","0","d","asc","USD","/1000000000")</f>
        <v>#N/A</v>
      </c>
      <c r="E14" s="6" t="e" cm="1">
        <f t="array" ref="E14">_xll.PBF(C14,"EV","NTM","16-Jun-2026","","USD","")/1000000000</f>
        <v>#N/A</v>
      </c>
      <c r="F14" s="6" t="e" cm="1">
        <f t="array" ref="F14">_xll.PBF(C14,"Total Revenue","NTM","16-Jun-2026","","USD","")/1000000000</f>
        <v>#N/A</v>
      </c>
      <c r="G14" s="15" t="e" cm="1">
        <f t="array" ref="G14">_xll.PBF(C14,"Revenue % Growth","NTM","16-Jun-2026","","USD","")</f>
        <v>#N/A</v>
      </c>
      <c r="H14" s="6" t="e" cm="1">
        <f t="array" ref="H14">_xll.PBF(C14,"EV to Revenue","NTM","16-Jun-2026","","USD","")</f>
        <v>#N/A</v>
      </c>
      <c r="I14" s="6" t="e" cm="1">
        <f t="array" ref="I14">_xll.PBF(C14,"EBITDA Margin","NTM","16-Jun-2026","","USD","")</f>
        <v>#N/A</v>
      </c>
      <c r="J14" s="14" t="str">
        <f t="shared" si="0"/>
        <v>N/D</v>
      </c>
      <c r="K14" s="14">
        <v>0</v>
      </c>
      <c r="L14" s="4" t="s">
        <v>95</v>
      </c>
      <c r="M14" s="4" t="s">
        <v>103</v>
      </c>
      <c r="N14" s="4" t="s">
        <v>344</v>
      </c>
      <c r="O14" t="s">
        <v>370</v>
      </c>
    </row>
    <row r="15" spans="1:15" x14ac:dyDescent="0.2">
      <c r="B15" s="4"/>
      <c r="C15" s="4"/>
      <c r="D15" s="4"/>
      <c r="E15" s="4"/>
      <c r="F15" s="4"/>
      <c r="G15" s="4"/>
      <c r="H15" s="4"/>
      <c r="I15" s="4"/>
      <c r="K15" s="14"/>
      <c r="L15" s="4"/>
      <c r="M15" s="4"/>
      <c r="N15" s="4"/>
    </row>
    <row r="16" spans="1:15" ht="22" x14ac:dyDescent="0.3">
      <c r="A16" s="84" t="s">
        <v>345</v>
      </c>
      <c r="B16" s="84"/>
      <c r="C16" s="84"/>
      <c r="D16" s="84"/>
    </row>
    <row r="17" spans="1:9" s="2" customFormat="1" x14ac:dyDescent="0.2">
      <c r="A17" s="2" t="s">
        <v>346</v>
      </c>
      <c r="B17" s="2" t="s">
        <v>347</v>
      </c>
      <c r="C17" s="2" t="s">
        <v>348</v>
      </c>
      <c r="D17" s="2" t="s">
        <v>349</v>
      </c>
      <c r="E17" s="2" t="s">
        <v>350</v>
      </c>
      <c r="F17" s="2" t="s">
        <v>351</v>
      </c>
      <c r="G17" s="2" t="s">
        <v>352</v>
      </c>
      <c r="H17" s="2" t="s">
        <v>353</v>
      </c>
      <c r="I17" s="2" t="s">
        <v>6</v>
      </c>
    </row>
    <row r="18" spans="1:9" x14ac:dyDescent="0.2">
      <c r="A18" t="s">
        <v>326</v>
      </c>
      <c r="B18" s="4">
        <f>COUNTIF($N$5:$N$14,"Y")</f>
        <v>7</v>
      </c>
      <c r="C18" s="6">
        <f>IFERROR(AVERAGEIF($N$5:$N$14,"Y",$G$5:$G$14),"N/D")</f>
        <v>0.26099588674827717</v>
      </c>
      <c r="D18" s="6" cm="1">
        <f t="array" ref="D18">IFERROR(MEDIAN(_xlfn._xlws.FILTER($G$5:$G$14,$N$5:$N$14="Y")),"N/D")</f>
        <v>0.24895503317917256</v>
      </c>
      <c r="E18" s="6" cm="1">
        <f t="array" ref="E18">IFERROR(MIN(_xlfn._xlws.FILTER($G$5:$G$14,$N$5:$N$14="Y")),"N/D")</f>
        <v>0.17261220956572387</v>
      </c>
      <c r="F18" s="6" cm="1">
        <f t="array" ref="F18">IFERROR(MAX(_xlfn._xlws.FILTER($G$5:$G$14,$N$5:$N$14="Y")),"N/D")</f>
        <v>0.31551354689056232</v>
      </c>
      <c r="G18" s="6" cm="1">
        <f t="array" ref="G18">IFERROR(SUMPRODUCT(_xlfn._xlws.FILTER($G$5:$G$14,$N$5:$N$14="Y"),_xlfn._xlws.FILTER($K$5:$K$14,$N$5:$N$14="Y"))/SUMIFS($K$5:$K$14,$N$5:$N$14,"Y"),"N/D")</f>
        <v>0.2595279121394361</v>
      </c>
      <c r="H18" s="4" t="s">
        <v>68</v>
      </c>
      <c r="I18" t="s">
        <v>371</v>
      </c>
    </row>
    <row r="19" spans="1:9" x14ac:dyDescent="0.2">
      <c r="A19" t="s">
        <v>354</v>
      </c>
      <c r="B19" s="4">
        <f>COUNTIF($N$5:$N$14,"Y")</f>
        <v>7</v>
      </c>
      <c r="C19" s="6">
        <f>IFERROR(AVERAGEIF($N$5:$N$14,"Y",$H$5:$H$14),"N/D")</f>
        <v>13.251649023507516</v>
      </c>
      <c r="D19" s="6" cm="1">
        <f t="array" ref="D19">IFERROR(MEDIAN(_xlfn._xlws.FILTER($H$5:$H$14,$N$5:$N$14="Y")),"N/D")</f>
        <v>9.8596466018469879</v>
      </c>
      <c r="E19" s="6" cm="1">
        <f t="array" ref="E19">IFERROR(MIN(_xlfn._xlws.FILTER($H$5:$H$14,$N$5:$N$14="Y")),"N/D")</f>
        <v>3.1447916813993428</v>
      </c>
      <c r="F19" s="6" cm="1">
        <f t="array" ref="F19">IFERROR(MAX(_xlfn._xlws.FILTER($H$5:$H$14,$N$5:$N$14="Y")),"N/D")</f>
        <v>34.931235266178675</v>
      </c>
      <c r="G19" s="6" cm="1">
        <f t="array" ref="G19">IFERROR(SUMPRODUCT(_xlfn._xlws.FILTER($H$5:$H$14,$N$5:$N$14="Y"),_xlfn._xlws.FILTER($K$5:$K$14,$N$5:$N$14="Y"))/SUMIFS($K$5:$K$14,$N$5:$N$14,"Y"),"N/D")</f>
        <v>11.957986905843821</v>
      </c>
      <c r="H19" s="4" t="s">
        <v>101</v>
      </c>
      <c r="I19" t="s">
        <v>372</v>
      </c>
    </row>
    <row r="20" spans="1:9" x14ac:dyDescent="0.2">
      <c r="A20" t="s">
        <v>327</v>
      </c>
      <c r="B20" s="4">
        <f>COUNTIF($N$5:$N$14,"Y")</f>
        <v>7</v>
      </c>
      <c r="C20" s="6">
        <f>IFERROR(AVERAGEIF($N$5:$N$14,"Y",$I$5:$I$14),"N/D")</f>
        <v>-4.1396491226198102E-2</v>
      </c>
      <c r="D20" s="6" cm="1">
        <f t="array" ref="D20">IFERROR(MEDIAN(_xlfn._xlws.FILTER($I$5:$I$14,$N$5:$N$14="Y")),"N/D")</f>
        <v>-1.8099949549149032E-2</v>
      </c>
      <c r="E20" s="6" cm="1">
        <f t="array" ref="E20">IFERROR(MIN(_xlfn._xlws.FILTER($I$5:$I$14,$N$5:$N$14="Y")),"N/D")</f>
        <v>-0.22161200582655102</v>
      </c>
      <c r="F20" s="6" cm="1">
        <f t="array" ref="F20">IFERROR(MAX(_xlfn._xlws.FILTER($I$5:$I$14,$N$5:$N$14="Y")),"N/D")</f>
        <v>1.9935825900877981E-2</v>
      </c>
      <c r="G20" s="6" cm="1">
        <f t="array" ref="G20">IFERROR(SUMPRODUCT(_xlfn._xlws.FILTER($I$5:$I$14,$N$5:$N$14="Y"),_xlfn._xlws.FILTER($K$5:$K$14,$N$5:$N$14="Y"))/SUMIFS($K$5:$K$14,$N$5:$N$14,"Y"),"N/D")</f>
        <v>-3.7621327118737051E-2</v>
      </c>
      <c r="H20" s="4" t="s">
        <v>68</v>
      </c>
      <c r="I20" t="s">
        <v>373</v>
      </c>
    </row>
    <row r="21" spans="1:9" x14ac:dyDescent="0.2">
      <c r="A21" t="s">
        <v>328</v>
      </c>
      <c r="B21" s="4">
        <f>COUNTIF($N$5:$N$14,"Y")</f>
        <v>7</v>
      </c>
      <c r="C21" s="6">
        <f>IFERROR(AVERAGEIF($N$5:$N$14,"Y",$J$5:$J$14),"N/D")</f>
        <v>0.2195993955220791</v>
      </c>
      <c r="D21" s="6" cm="1">
        <f t="array" ref="D21">IFERROR(MEDIAN(_xlfn._xlws.FILTER($J$5:$J$14,$N$5:$N$14="Y")),"N/D")</f>
        <v>0.21419674456944007</v>
      </c>
      <c r="E21" s="6" cm="1">
        <f t="array" ref="E21">IFERROR(MIN(_xlfn._xlws.FILTER($J$5:$J$14,$N$5:$N$14="Y")),"N/D")</f>
        <v>8.9100561960871266E-2</v>
      </c>
      <c r="F21" s="6" cm="1">
        <f t="array" ref="F21">IFERROR(MAX(_xlfn._xlws.FILTER($J$5:$J$14,$N$5:$N$14="Y")),"N/D")</f>
        <v>0.31031773222899456</v>
      </c>
      <c r="G21" s="6" cm="1">
        <f t="array" ref="G21">IFERROR(SUMPRODUCT(_xlfn._xlws.FILTER($J$5:$J$14,$N$5:$N$14="Y"),_xlfn._xlws.FILTER($K$5:$K$14,$N$5:$N$14="Y"))/SUMIFS($K$5:$K$14,$N$5:$N$14,"Y"),"N/D")</f>
        <v>0.22190658502069899</v>
      </c>
      <c r="H21" s="4" t="s">
        <v>68</v>
      </c>
      <c r="I21" t="s">
        <v>374</v>
      </c>
    </row>
    <row r="23" spans="1:9" ht="22" x14ac:dyDescent="0.3">
      <c r="A23" s="84" t="s">
        <v>355</v>
      </c>
      <c r="B23" s="84"/>
      <c r="C23" s="84"/>
      <c r="D23" s="84"/>
    </row>
    <row r="24" spans="1:9" s="2" customFormat="1" x14ac:dyDescent="0.2">
      <c r="A24" s="9" t="s">
        <v>356</v>
      </c>
      <c r="B24" s="2" t="s">
        <v>213</v>
      </c>
      <c r="C24" s="2" t="s">
        <v>357</v>
      </c>
      <c r="D24" s="2" t="s">
        <v>358</v>
      </c>
      <c r="E24" s="2" t="s">
        <v>359</v>
      </c>
      <c r="F24" s="2" t="s">
        <v>4</v>
      </c>
      <c r="G24" s="2" t="s">
        <v>5</v>
      </c>
      <c r="H24" s="2" t="s">
        <v>6</v>
      </c>
    </row>
    <row r="25" spans="1:9" x14ac:dyDescent="0.2">
      <c r="A25" t="s">
        <v>275</v>
      </c>
      <c r="B25" s="6">
        <f>'Cursor Valuation '!C12</f>
        <v>1</v>
      </c>
      <c r="C25" s="6">
        <f>$G$19</f>
        <v>11.957986905843821</v>
      </c>
      <c r="D25" s="6">
        <f>IFERROR(B25*C25,"N/D")</f>
        <v>11.957986905843821</v>
      </c>
      <c r="E25" s="6">
        <f>IFERROR(D25/'Cursor Valuation '!C5-1,"N/D")</f>
        <v>-0.80070021823593629</v>
      </c>
      <c r="F25" s="4" t="s">
        <v>375</v>
      </c>
      <c r="G25" s="4" t="s">
        <v>89</v>
      </c>
      <c r="H25" t="s">
        <v>376</v>
      </c>
    </row>
    <row r="26" spans="1:9" x14ac:dyDescent="0.2">
      <c r="A26" t="s">
        <v>360</v>
      </c>
      <c r="B26" s="4">
        <f>'Deal Fact Sheet '!C47</f>
        <v>2</v>
      </c>
      <c r="C26" s="6">
        <f>$G$19</f>
        <v>11.957986905843821</v>
      </c>
      <c r="D26" s="6">
        <f>IFERROR(B26*C26,"N/D")</f>
        <v>23.915973811687643</v>
      </c>
      <c r="E26" s="6">
        <f>IFERROR(D26/'Cursor Valuation '!C5-1,"N/D")</f>
        <v>-0.60140043647187258</v>
      </c>
      <c r="F26" s="4" t="s">
        <v>377</v>
      </c>
      <c r="G26" s="4" t="s">
        <v>89</v>
      </c>
      <c r="H26" t="s">
        <v>378</v>
      </c>
    </row>
    <row r="27" spans="1:9" x14ac:dyDescent="0.2">
      <c r="A27" t="s">
        <v>277</v>
      </c>
      <c r="B27" s="6">
        <f>'Cursor Valuation '!C13</f>
        <v>4</v>
      </c>
      <c r="C27" s="6">
        <f>$G$19</f>
        <v>11.957986905843821</v>
      </c>
      <c r="D27" s="6">
        <f>IFERROR(B27*C27,"N/D")</f>
        <v>47.831947623375285</v>
      </c>
      <c r="E27" s="6">
        <f>IFERROR(D27/'Cursor Valuation '!C5-1,"N/D")</f>
        <v>-0.20280087294374527</v>
      </c>
      <c r="F27" s="4" t="s">
        <v>375</v>
      </c>
      <c r="G27" s="4" t="s">
        <v>279</v>
      </c>
      <c r="H27" t="s">
        <v>379</v>
      </c>
    </row>
    <row r="28" spans="1:9" x14ac:dyDescent="0.2">
      <c r="B28" s="4"/>
      <c r="C28" s="4"/>
      <c r="D28" s="6"/>
      <c r="E28" s="4"/>
      <c r="F28" s="4"/>
      <c r="G28" s="4"/>
    </row>
    <row r="30" spans="1:9" x14ac:dyDescent="0.2">
      <c r="E30" s="4"/>
    </row>
    <row r="35" spans="6:6" x14ac:dyDescent="0.2">
      <c r="F35" s="13"/>
    </row>
  </sheetData>
  <mergeCells count="4">
    <mergeCell ref="A1:G1"/>
    <mergeCell ref="A3:D3"/>
    <mergeCell ref="A16:D16"/>
    <mergeCell ref="A23:D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188C4-27E8-114D-A4BF-942B34649E6E}">
  <dimension ref="A1:I67"/>
  <sheetViews>
    <sheetView showGridLines="0" tabSelected="1" topLeftCell="B1" workbookViewId="0">
      <pane ySplit="1" topLeftCell="A11" activePane="bottomLeft" state="frozen"/>
      <selection pane="bottomLeft" activeCell="I34" sqref="I34"/>
    </sheetView>
  </sheetViews>
  <sheetFormatPr baseColWidth="10" defaultRowHeight="16" x14ac:dyDescent="0.2"/>
  <cols>
    <col min="1" max="1" width="32.6640625" customWidth="1"/>
    <col min="2" max="2" width="72" customWidth="1"/>
    <col min="3" max="3" width="21.5" style="4" customWidth="1"/>
    <col min="4" max="4" width="18" style="4" customWidth="1"/>
    <col min="5" max="5" width="21.33203125" style="4" customWidth="1"/>
    <col min="6" max="6" width="10.83203125" style="4"/>
    <col min="7" max="7" width="34.33203125" style="4" customWidth="1"/>
    <col min="8" max="8" width="10.83203125" style="4"/>
  </cols>
  <sheetData>
    <row r="1" spans="1:9" s="16" customFormat="1" ht="22" x14ac:dyDescent="0.3">
      <c r="A1" s="78" t="s">
        <v>381</v>
      </c>
      <c r="B1" s="78"/>
      <c r="C1" s="78"/>
      <c r="D1" s="78"/>
      <c r="E1" s="78"/>
      <c r="F1" s="78"/>
      <c r="G1" s="78"/>
      <c r="H1" s="10"/>
    </row>
    <row r="3" spans="1:9" s="3" customFormat="1" ht="22" x14ac:dyDescent="0.3">
      <c r="A3" s="84" t="s">
        <v>382</v>
      </c>
      <c r="B3" s="84"/>
      <c r="C3" s="84"/>
      <c r="D3" s="17"/>
      <c r="E3" s="17"/>
      <c r="F3" s="17"/>
      <c r="G3" s="17"/>
      <c r="H3" s="17"/>
    </row>
    <row r="4" spans="1:9" s="1" customFormat="1" x14ac:dyDescent="0.2">
      <c r="A4" s="1" t="s">
        <v>202</v>
      </c>
      <c r="B4" s="1" t="s">
        <v>383</v>
      </c>
      <c r="C4" s="2" t="s">
        <v>384</v>
      </c>
      <c r="D4" s="2" t="s">
        <v>3</v>
      </c>
      <c r="E4" s="2" t="s">
        <v>100</v>
      </c>
      <c r="F4" s="2" t="s">
        <v>353</v>
      </c>
      <c r="G4" s="2" t="s">
        <v>4</v>
      </c>
      <c r="H4" s="2" t="s">
        <v>219</v>
      </c>
      <c r="I4" s="1" t="s">
        <v>257</v>
      </c>
    </row>
    <row r="5" spans="1:9" x14ac:dyDescent="0.2">
      <c r="A5" t="s">
        <v>14</v>
      </c>
      <c r="B5" t="s">
        <v>429</v>
      </c>
      <c r="C5" s="4" t="s">
        <v>430</v>
      </c>
      <c r="D5" s="4" t="s">
        <v>94</v>
      </c>
      <c r="G5" s="4" t="s">
        <v>262</v>
      </c>
      <c r="H5" s="4" t="s">
        <v>90</v>
      </c>
      <c r="I5" t="s">
        <v>431</v>
      </c>
    </row>
    <row r="6" spans="1:9" x14ac:dyDescent="0.2">
      <c r="A6" t="s">
        <v>385</v>
      </c>
      <c r="B6" t="s">
        <v>432</v>
      </c>
      <c r="C6" s="4">
        <f>'Deal Fact Sheet '!C13</f>
        <v>60</v>
      </c>
      <c r="D6" s="4" t="s">
        <v>66</v>
      </c>
      <c r="G6" s="4" t="s">
        <v>433</v>
      </c>
      <c r="H6" s="4" t="s">
        <v>90</v>
      </c>
      <c r="I6" t="s">
        <v>434</v>
      </c>
    </row>
    <row r="7" spans="1:9" x14ac:dyDescent="0.2">
      <c r="A7" t="s">
        <v>386</v>
      </c>
      <c r="B7" t="s">
        <v>435</v>
      </c>
      <c r="C7" s="4" t="s">
        <v>401</v>
      </c>
      <c r="D7" s="4" t="s">
        <v>94</v>
      </c>
      <c r="G7" s="4" t="s">
        <v>91</v>
      </c>
      <c r="H7" s="4" t="s">
        <v>90</v>
      </c>
      <c r="I7" t="s">
        <v>436</v>
      </c>
    </row>
    <row r="8" spans="1:9" x14ac:dyDescent="0.2">
      <c r="A8" t="s">
        <v>387</v>
      </c>
      <c r="B8" t="s">
        <v>437</v>
      </c>
      <c r="C8" s="4" t="s">
        <v>438</v>
      </c>
      <c r="D8" s="4" t="s">
        <v>439</v>
      </c>
      <c r="G8" s="4" t="s">
        <v>91</v>
      </c>
      <c r="H8" s="4" t="s">
        <v>90</v>
      </c>
      <c r="I8" t="s">
        <v>440</v>
      </c>
    </row>
    <row r="9" spans="1:9" x14ac:dyDescent="0.2">
      <c r="A9" t="s">
        <v>388</v>
      </c>
      <c r="B9" t="s">
        <v>441</v>
      </c>
      <c r="C9" s="4">
        <v>7</v>
      </c>
      <c r="D9" s="4" t="s">
        <v>442</v>
      </c>
      <c r="G9" s="4" t="s">
        <v>91</v>
      </c>
      <c r="H9" s="4" t="s">
        <v>90</v>
      </c>
      <c r="I9" t="s">
        <v>443</v>
      </c>
    </row>
    <row r="10" spans="1:9" x14ac:dyDescent="0.2">
      <c r="A10" t="s">
        <v>389</v>
      </c>
      <c r="B10" t="s">
        <v>444</v>
      </c>
      <c r="C10" s="4" t="s">
        <v>445</v>
      </c>
      <c r="D10" s="4" t="s">
        <v>94</v>
      </c>
      <c r="G10" s="4" t="s">
        <v>91</v>
      </c>
      <c r="H10" s="4" t="s">
        <v>90</v>
      </c>
      <c r="I10" t="s">
        <v>446</v>
      </c>
    </row>
    <row r="11" spans="1:9" x14ac:dyDescent="0.2">
      <c r="A11" t="s">
        <v>390</v>
      </c>
      <c r="B11" t="s">
        <v>447</v>
      </c>
      <c r="C11" s="4" t="s">
        <v>448</v>
      </c>
      <c r="D11" s="4" t="s">
        <v>449</v>
      </c>
      <c r="G11" s="4" t="s">
        <v>91</v>
      </c>
      <c r="H11" s="4" t="s">
        <v>102</v>
      </c>
      <c r="I11" t="s">
        <v>450</v>
      </c>
    </row>
    <row r="12" spans="1:9" x14ac:dyDescent="0.2">
      <c r="A12" t="s">
        <v>391</v>
      </c>
      <c r="B12" t="s">
        <v>451</v>
      </c>
      <c r="C12" s="4" t="s">
        <v>275</v>
      </c>
      <c r="D12" s="4" t="s">
        <v>452</v>
      </c>
      <c r="G12" s="4" t="s">
        <v>453</v>
      </c>
      <c r="H12" s="4" t="s">
        <v>89</v>
      </c>
      <c r="I12" t="s">
        <v>454</v>
      </c>
    </row>
    <row r="13" spans="1:9" x14ac:dyDescent="0.2">
      <c r="A13" t="s">
        <v>392</v>
      </c>
      <c r="B13" t="s">
        <v>455</v>
      </c>
      <c r="C13" s="4" t="s">
        <v>277</v>
      </c>
      <c r="D13" s="4" t="s">
        <v>452</v>
      </c>
      <c r="G13" s="4" t="s">
        <v>453</v>
      </c>
      <c r="H13" s="4" t="s">
        <v>89</v>
      </c>
      <c r="I13" t="s">
        <v>456</v>
      </c>
    </row>
    <row r="15" spans="1:9" ht="22" x14ac:dyDescent="0.3">
      <c r="A15" s="3" t="s">
        <v>393</v>
      </c>
    </row>
    <row r="16" spans="1:9" x14ac:dyDescent="0.2">
      <c r="A16" t="s">
        <v>385</v>
      </c>
      <c r="C16" s="4">
        <f>'Deal Fact Sheet '!C13</f>
        <v>60</v>
      </c>
      <c r="D16" s="4" t="s">
        <v>66</v>
      </c>
      <c r="G16" s="4" t="s">
        <v>433</v>
      </c>
      <c r="H16" s="4" t="s">
        <v>90</v>
      </c>
      <c r="I16" t="s">
        <v>457</v>
      </c>
    </row>
    <row r="17" spans="1:9" x14ac:dyDescent="0.2">
      <c r="A17" t="s">
        <v>920</v>
      </c>
      <c r="C17" s="4">
        <v>150</v>
      </c>
      <c r="D17" s="4" t="s">
        <v>184</v>
      </c>
      <c r="G17" s="4" t="s">
        <v>458</v>
      </c>
      <c r="H17" s="4" t="s">
        <v>314</v>
      </c>
      <c r="I17" t="s">
        <v>459</v>
      </c>
    </row>
    <row r="18" spans="1:9" x14ac:dyDescent="0.2">
      <c r="A18" t="s">
        <v>921</v>
      </c>
      <c r="C18" s="4">
        <v>175</v>
      </c>
      <c r="D18" s="4" t="s">
        <v>184</v>
      </c>
      <c r="G18" s="4" t="s">
        <v>458</v>
      </c>
      <c r="H18" s="4" t="s">
        <v>314</v>
      </c>
      <c r="I18" t="s">
        <v>459</v>
      </c>
    </row>
    <row r="19" spans="1:9" x14ac:dyDescent="0.2">
      <c r="A19" t="s">
        <v>922</v>
      </c>
      <c r="C19" s="4">
        <v>200</v>
      </c>
      <c r="D19" s="4" t="s">
        <v>184</v>
      </c>
      <c r="G19" s="4" t="s">
        <v>458</v>
      </c>
      <c r="H19" s="4" t="s">
        <v>314</v>
      </c>
      <c r="I19" t="s">
        <v>459</v>
      </c>
    </row>
    <row r="20" spans="1:9" x14ac:dyDescent="0.2">
      <c r="A20" t="s">
        <v>923</v>
      </c>
      <c r="C20" s="4">
        <v>225</v>
      </c>
      <c r="D20" s="4" t="s">
        <v>184</v>
      </c>
      <c r="G20" s="4" t="s">
        <v>458</v>
      </c>
      <c r="H20" s="4" t="s">
        <v>314</v>
      </c>
      <c r="I20" t="s">
        <v>459</v>
      </c>
    </row>
    <row r="21" spans="1:9" x14ac:dyDescent="0.2">
      <c r="A21" t="s">
        <v>924</v>
      </c>
      <c r="E21" s="4">
        <v>400</v>
      </c>
      <c r="F21" s="4" t="s">
        <v>460</v>
      </c>
      <c r="G21" s="4" t="s">
        <v>461</v>
      </c>
      <c r="H21" s="4" t="s">
        <v>90</v>
      </c>
      <c r="I21" t="s">
        <v>462</v>
      </c>
    </row>
    <row r="22" spans="1:9" x14ac:dyDescent="0.2">
      <c r="A22" t="s">
        <v>925</v>
      </c>
      <c r="E22" s="6">
        <v>342.9</v>
      </c>
      <c r="F22" s="4" t="s">
        <v>460</v>
      </c>
      <c r="G22" s="4" t="s">
        <v>461</v>
      </c>
      <c r="H22" s="4" t="s">
        <v>90</v>
      </c>
      <c r="I22" t="s">
        <v>463</v>
      </c>
    </row>
    <row r="23" spans="1:9" x14ac:dyDescent="0.2">
      <c r="A23" t="s">
        <v>926</v>
      </c>
      <c r="E23" s="4">
        <v>300</v>
      </c>
      <c r="F23" s="4" t="s">
        <v>460</v>
      </c>
      <c r="G23" s="4" t="s">
        <v>461</v>
      </c>
      <c r="H23" s="4" t="s">
        <v>90</v>
      </c>
      <c r="I23" t="s">
        <v>464</v>
      </c>
    </row>
    <row r="24" spans="1:9" x14ac:dyDescent="0.2">
      <c r="A24" t="s">
        <v>927</v>
      </c>
      <c r="E24" s="6">
        <v>266.7</v>
      </c>
      <c r="F24" s="4" t="s">
        <v>460</v>
      </c>
      <c r="G24" s="4" t="s">
        <v>461</v>
      </c>
      <c r="H24" s="4" t="s">
        <v>90</v>
      </c>
      <c r="I24" t="s">
        <v>465</v>
      </c>
    </row>
    <row r="26" spans="1:9" ht="22" x14ac:dyDescent="0.3">
      <c r="A26" s="3" t="s">
        <v>394</v>
      </c>
      <c r="B26" s="3"/>
    </row>
    <row r="27" spans="1:9" s="2" customFormat="1" x14ac:dyDescent="0.2">
      <c r="A27" s="2" t="s">
        <v>346</v>
      </c>
      <c r="B27" s="2" t="s">
        <v>399</v>
      </c>
      <c r="C27" s="2" t="s">
        <v>400</v>
      </c>
      <c r="D27" s="2" t="s">
        <v>401</v>
      </c>
      <c r="E27" s="2" t="s">
        <v>402</v>
      </c>
    </row>
    <row r="28" spans="1:9" x14ac:dyDescent="0.2">
      <c r="A28" t="s">
        <v>395</v>
      </c>
      <c r="B28" t="s">
        <v>275</v>
      </c>
      <c r="C28" s="4" t="s">
        <v>277</v>
      </c>
      <c r="D28" s="4" t="s">
        <v>277</v>
      </c>
      <c r="E28" s="4" t="s">
        <v>466</v>
      </c>
    </row>
    <row r="29" spans="1:9" x14ac:dyDescent="0.2">
      <c r="A29" t="s">
        <v>396</v>
      </c>
      <c r="B29" t="s">
        <v>277</v>
      </c>
      <c r="C29" s="4" t="s">
        <v>275</v>
      </c>
      <c r="D29" s="4" t="s">
        <v>275</v>
      </c>
      <c r="E29" s="4" t="s">
        <v>466</v>
      </c>
    </row>
    <row r="30" spans="1:9" x14ac:dyDescent="0.2">
      <c r="A30" t="s">
        <v>916</v>
      </c>
      <c r="B30" t="s">
        <v>277</v>
      </c>
      <c r="C30" s="4" t="s">
        <v>275</v>
      </c>
      <c r="D30" s="4" t="s">
        <v>275</v>
      </c>
      <c r="E30" s="4" t="s">
        <v>466</v>
      </c>
    </row>
    <row r="31" spans="1:9" x14ac:dyDescent="0.2">
      <c r="A31" t="s">
        <v>917</v>
      </c>
      <c r="B31" t="s">
        <v>275</v>
      </c>
      <c r="C31" s="4" t="s">
        <v>277</v>
      </c>
      <c r="D31" s="4" t="s">
        <v>275</v>
      </c>
      <c r="E31" s="4" t="s">
        <v>466</v>
      </c>
    </row>
    <row r="32" spans="1:9" x14ac:dyDescent="0.2">
      <c r="A32" t="s">
        <v>397</v>
      </c>
      <c r="B32" t="s">
        <v>467</v>
      </c>
      <c r="C32" s="4" t="s">
        <v>468</v>
      </c>
      <c r="D32" s="4" t="s">
        <v>469</v>
      </c>
      <c r="E32" s="4" t="s">
        <v>470</v>
      </c>
    </row>
    <row r="33" spans="1:8" x14ac:dyDescent="0.2">
      <c r="A33" t="s">
        <v>398</v>
      </c>
      <c r="B33" t="s">
        <v>448</v>
      </c>
      <c r="C33" s="4" t="s">
        <v>448</v>
      </c>
      <c r="D33" s="4" t="s">
        <v>471</v>
      </c>
      <c r="E33" s="4" t="s">
        <v>448</v>
      </c>
    </row>
    <row r="35" spans="1:8" ht="22" x14ac:dyDescent="0.3">
      <c r="A35" s="3" t="s">
        <v>403</v>
      </c>
    </row>
    <row r="36" spans="1:8" x14ac:dyDescent="0.2">
      <c r="A36" t="s">
        <v>404</v>
      </c>
      <c r="C36" s="5">
        <v>46133</v>
      </c>
      <c r="D36" s="4" t="s">
        <v>196</v>
      </c>
      <c r="G36" s="4" t="s">
        <v>472</v>
      </c>
      <c r="H36" s="4" t="s">
        <v>89</v>
      </c>
    </row>
    <row r="37" spans="1:8" x14ac:dyDescent="0.2">
      <c r="A37" t="s">
        <v>405</v>
      </c>
      <c r="C37" s="4">
        <v>60</v>
      </c>
      <c r="D37" s="4" t="s">
        <v>66</v>
      </c>
      <c r="G37" s="4" t="s">
        <v>472</v>
      </c>
      <c r="H37" s="4" t="s">
        <v>89</v>
      </c>
    </row>
    <row r="38" spans="1:8" x14ac:dyDescent="0.2">
      <c r="A38" t="s">
        <v>406</v>
      </c>
      <c r="C38" s="4">
        <f>'Deal Fact Sheet '!C13</f>
        <v>60</v>
      </c>
      <c r="D38" s="4" t="s">
        <v>66</v>
      </c>
      <c r="G38" s="4" t="s">
        <v>472</v>
      </c>
      <c r="H38" s="4" t="s">
        <v>89</v>
      </c>
    </row>
    <row r="39" spans="1:8" x14ac:dyDescent="0.2">
      <c r="A39" t="s">
        <v>407</v>
      </c>
      <c r="C39" s="4">
        <v>10</v>
      </c>
      <c r="D39" s="4" t="s">
        <v>66</v>
      </c>
      <c r="G39" s="4" t="s">
        <v>472</v>
      </c>
      <c r="H39" s="4" t="s">
        <v>89</v>
      </c>
    </row>
    <row r="40" spans="1:8" x14ac:dyDescent="0.2">
      <c r="A40" t="s">
        <v>408</v>
      </c>
      <c r="E40" s="4">
        <f>C38-C39</f>
        <v>50</v>
      </c>
      <c r="F40" s="4" t="s">
        <v>66</v>
      </c>
      <c r="G40" s="4" t="s">
        <v>472</v>
      </c>
      <c r="H40" s="4" t="s">
        <v>89</v>
      </c>
    </row>
    <row r="41" spans="1:8" x14ac:dyDescent="0.2">
      <c r="A41" t="s">
        <v>409</v>
      </c>
      <c r="E41" s="6">
        <f>E40/C38</f>
        <v>0.83333333333333337</v>
      </c>
      <c r="F41" s="4" t="s">
        <v>68</v>
      </c>
      <c r="G41" s="4" t="s">
        <v>472</v>
      </c>
      <c r="H41" s="4" t="s">
        <v>89</v>
      </c>
    </row>
    <row r="43" spans="1:8" ht="22" x14ac:dyDescent="0.3">
      <c r="A43" s="3" t="s">
        <v>410</v>
      </c>
    </row>
    <row r="44" spans="1:8" x14ac:dyDescent="0.2">
      <c r="A44" t="s">
        <v>411</v>
      </c>
      <c r="C44" s="4">
        <v>1.5</v>
      </c>
      <c r="D44" s="4" t="s">
        <v>66</v>
      </c>
      <c r="G44" s="4" t="s">
        <v>472</v>
      </c>
      <c r="H44" s="4" t="s">
        <v>89</v>
      </c>
    </row>
    <row r="45" spans="1:8" x14ac:dyDescent="0.2">
      <c r="A45" t="s">
        <v>412</v>
      </c>
      <c r="C45" s="4">
        <v>8.5</v>
      </c>
      <c r="D45" s="4" t="s">
        <v>66</v>
      </c>
      <c r="G45" s="4" t="s">
        <v>472</v>
      </c>
      <c r="H45" s="4" t="s">
        <v>89</v>
      </c>
    </row>
    <row r="46" spans="1:8" x14ac:dyDescent="0.2">
      <c r="A46" t="s">
        <v>413</v>
      </c>
      <c r="E46" s="4">
        <f>C44+C45</f>
        <v>10</v>
      </c>
      <c r="F46" s="4" t="s">
        <v>66</v>
      </c>
      <c r="G46" s="4" t="s">
        <v>472</v>
      </c>
      <c r="H46" s="4" t="s">
        <v>89</v>
      </c>
    </row>
    <row r="47" spans="1:8" x14ac:dyDescent="0.2">
      <c r="A47" t="s">
        <v>414</v>
      </c>
      <c r="E47" s="6">
        <f>E46/'Deal Fact Sheet '!C13</f>
        <v>0.16666666666666666</v>
      </c>
      <c r="F47" s="4" t="s">
        <v>68</v>
      </c>
      <c r="G47" s="4" t="s">
        <v>472</v>
      </c>
      <c r="H47" s="4" t="s">
        <v>89</v>
      </c>
    </row>
    <row r="49" spans="1:9" ht="22" x14ac:dyDescent="0.3">
      <c r="A49" s="3" t="s">
        <v>415</v>
      </c>
    </row>
    <row r="50" spans="1:9" x14ac:dyDescent="0.2">
      <c r="A50" t="s">
        <v>385</v>
      </c>
      <c r="C50" s="4">
        <f>'Deal Fact Sheet '!C13</f>
        <v>60</v>
      </c>
      <c r="D50" s="4" t="s">
        <v>66</v>
      </c>
      <c r="G50" s="4" t="s">
        <v>473</v>
      </c>
      <c r="H50" s="4" t="s">
        <v>89</v>
      </c>
    </row>
    <row r="51" spans="1:9" x14ac:dyDescent="0.2">
      <c r="A51" t="s">
        <v>416</v>
      </c>
      <c r="C51" s="4">
        <v>2536.0300000000002</v>
      </c>
      <c r="D51" s="4" t="s">
        <v>66</v>
      </c>
      <c r="G51" s="4" t="s">
        <v>473</v>
      </c>
      <c r="H51" s="4" t="s">
        <v>89</v>
      </c>
    </row>
    <row r="52" spans="1:9" x14ac:dyDescent="0.2">
      <c r="A52" t="s">
        <v>417</v>
      </c>
      <c r="E52" s="6">
        <f>C50/C51</f>
        <v>2.3659026115621658E-2</v>
      </c>
      <c r="F52" s="4" t="s">
        <v>68</v>
      </c>
      <c r="G52" s="4" t="s">
        <v>473</v>
      </c>
      <c r="H52" s="4" t="s">
        <v>89</v>
      </c>
      <c r="I52" t="s">
        <v>474</v>
      </c>
    </row>
    <row r="53" spans="1:9" x14ac:dyDescent="0.2">
      <c r="A53" t="s">
        <v>418</v>
      </c>
      <c r="E53" s="4">
        <v>300</v>
      </c>
      <c r="F53" s="4" t="s">
        <v>460</v>
      </c>
      <c r="G53" s="4" t="s">
        <v>473</v>
      </c>
      <c r="H53" s="4" t="s">
        <v>89</v>
      </c>
      <c r="I53" t="s">
        <v>475</v>
      </c>
    </row>
    <row r="55" spans="1:9" ht="22" x14ac:dyDescent="0.3">
      <c r="A55" s="3" t="s">
        <v>419</v>
      </c>
    </row>
    <row r="56" spans="1:9" x14ac:dyDescent="0.2">
      <c r="A56" t="s">
        <v>420</v>
      </c>
      <c r="C56" s="4" t="s">
        <v>448</v>
      </c>
      <c r="D56" s="4" t="s">
        <v>94</v>
      </c>
      <c r="G56" s="4" t="s">
        <v>477</v>
      </c>
      <c r="H56" s="4" t="s">
        <v>89</v>
      </c>
    </row>
    <row r="57" spans="1:9" x14ac:dyDescent="0.2">
      <c r="A57" t="s">
        <v>421</v>
      </c>
      <c r="C57" s="4" t="s">
        <v>476</v>
      </c>
      <c r="D57" s="4" t="s">
        <v>94</v>
      </c>
      <c r="E57" s="6"/>
      <c r="G57" s="4" t="s">
        <v>477</v>
      </c>
      <c r="H57" s="4" t="s">
        <v>89</v>
      </c>
    </row>
    <row r="58" spans="1:9" x14ac:dyDescent="0.2">
      <c r="A58" t="s">
        <v>422</v>
      </c>
      <c r="C58" s="4" t="s">
        <v>471</v>
      </c>
      <c r="D58" s="4" t="s">
        <v>94</v>
      </c>
      <c r="G58" s="4" t="s">
        <v>477</v>
      </c>
      <c r="H58" s="4" t="s">
        <v>89</v>
      </c>
    </row>
    <row r="59" spans="1:9" x14ac:dyDescent="0.2">
      <c r="A59" t="s">
        <v>423</v>
      </c>
      <c r="C59" s="4" t="s">
        <v>476</v>
      </c>
      <c r="D59" s="4" t="s">
        <v>94</v>
      </c>
      <c r="G59" s="4" t="s">
        <v>477</v>
      </c>
      <c r="H59" s="4" t="s">
        <v>89</v>
      </c>
    </row>
    <row r="60" spans="1:9" x14ac:dyDescent="0.2">
      <c r="A60" t="s">
        <v>424</v>
      </c>
      <c r="C60" s="4" t="s">
        <v>277</v>
      </c>
      <c r="D60" s="4" t="s">
        <v>94</v>
      </c>
      <c r="G60" s="4" t="s">
        <v>477</v>
      </c>
      <c r="H60" s="4" t="s">
        <v>89</v>
      </c>
    </row>
    <row r="62" spans="1:9" ht="22" x14ac:dyDescent="0.3">
      <c r="A62" s="3" t="s">
        <v>425</v>
      </c>
    </row>
    <row r="63" spans="1:9" x14ac:dyDescent="0.2">
      <c r="A63" t="s">
        <v>426</v>
      </c>
      <c r="C63" s="4" t="b">
        <v>1</v>
      </c>
      <c r="D63" s="4" t="s">
        <v>449</v>
      </c>
      <c r="G63" s="4" t="s">
        <v>453</v>
      </c>
      <c r="H63" s="4" t="s">
        <v>89</v>
      </c>
      <c r="I63" t="s">
        <v>478</v>
      </c>
    </row>
    <row r="64" spans="1:9" x14ac:dyDescent="0.2">
      <c r="A64" t="s">
        <v>427</v>
      </c>
      <c r="C64" s="4" t="b">
        <v>1</v>
      </c>
      <c r="D64" s="4" t="s">
        <v>449</v>
      </c>
      <c r="G64" s="4" t="s">
        <v>453</v>
      </c>
      <c r="H64" s="4" t="s">
        <v>89</v>
      </c>
      <c r="I64" t="s">
        <v>479</v>
      </c>
    </row>
    <row r="65" spans="1:9" x14ac:dyDescent="0.2">
      <c r="A65" t="s">
        <v>428</v>
      </c>
      <c r="C65" s="4" t="b">
        <v>1</v>
      </c>
      <c r="D65" s="4" t="s">
        <v>449</v>
      </c>
      <c r="G65" s="4" t="s">
        <v>453</v>
      </c>
      <c r="H65" s="4" t="s">
        <v>89</v>
      </c>
      <c r="I65" t="s">
        <v>480</v>
      </c>
    </row>
    <row r="66" spans="1:9" x14ac:dyDescent="0.2">
      <c r="A66" t="s">
        <v>918</v>
      </c>
      <c r="C66" s="4" t="b">
        <v>1</v>
      </c>
      <c r="D66" s="4" t="s">
        <v>449</v>
      </c>
      <c r="G66" s="4" t="s">
        <v>453</v>
      </c>
      <c r="H66" s="4" t="s">
        <v>89</v>
      </c>
      <c r="I66" t="s">
        <v>481</v>
      </c>
    </row>
    <row r="67" spans="1:9" x14ac:dyDescent="0.2">
      <c r="A67" t="s">
        <v>919</v>
      </c>
      <c r="C67" s="4" t="b">
        <v>1</v>
      </c>
      <c r="D67" s="4" t="s">
        <v>449</v>
      </c>
      <c r="G67" s="4" t="s">
        <v>453</v>
      </c>
      <c r="H67" s="4" t="s">
        <v>89</v>
      </c>
      <c r="I67" t="s">
        <v>482</v>
      </c>
    </row>
  </sheetData>
  <mergeCells count="2">
    <mergeCell ref="A1:G1"/>
    <mergeCell ref="A3:C3"/>
  </mergeCells>
  <phoneticPr fontId="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5C6A3-ABD0-9844-AF9C-88D3134E034F}">
  <dimension ref="A1:G36"/>
  <sheetViews>
    <sheetView showGridLines="0" workbookViewId="0">
      <pane ySplit="3" topLeftCell="A4" activePane="bottomLeft" state="frozen"/>
      <selection pane="bottomLeft" activeCell="M14" sqref="M14"/>
    </sheetView>
  </sheetViews>
  <sheetFormatPr baseColWidth="10" defaultRowHeight="16" x14ac:dyDescent="0.2"/>
  <cols>
    <col min="1" max="1" width="36.83203125" customWidth="1"/>
    <col min="2" max="3" width="13.1640625" customWidth="1"/>
    <col min="5" max="5" width="24.5" customWidth="1"/>
  </cols>
  <sheetData>
    <row r="1" spans="1:7" s="1" customFormat="1" ht="22" x14ac:dyDescent="0.3">
      <c r="A1" s="78" t="s">
        <v>932</v>
      </c>
      <c r="B1" s="78"/>
      <c r="C1" s="78"/>
      <c r="D1" s="78"/>
      <c r="E1" s="78"/>
      <c r="F1" s="78"/>
      <c r="G1" s="78"/>
    </row>
    <row r="3" spans="1:7" s="1" customFormat="1" x14ac:dyDescent="0.2">
      <c r="A3" s="1" t="s">
        <v>346</v>
      </c>
      <c r="B3" s="2" t="s">
        <v>488</v>
      </c>
      <c r="C3" s="2" t="s">
        <v>2</v>
      </c>
      <c r="D3" s="2" t="s">
        <v>3</v>
      </c>
      <c r="E3" s="2" t="s">
        <v>4</v>
      </c>
      <c r="F3" s="2" t="s">
        <v>5</v>
      </c>
      <c r="G3" s="2" t="s">
        <v>6</v>
      </c>
    </row>
    <row r="4" spans="1:7" ht="22" x14ac:dyDescent="0.3">
      <c r="A4" s="3" t="s">
        <v>483</v>
      </c>
      <c r="B4" s="4"/>
      <c r="C4" s="4"/>
      <c r="D4" s="4"/>
      <c r="E4" s="4"/>
      <c r="F4" s="4"/>
    </row>
    <row r="5" spans="1:7" x14ac:dyDescent="0.2">
      <c r="A5" t="s">
        <v>385</v>
      </c>
      <c r="B5" s="4"/>
      <c r="C5" s="6">
        <f>'Deal Fact Sheet '!C13</f>
        <v>60</v>
      </c>
      <c r="D5" s="4" t="s">
        <v>66</v>
      </c>
      <c r="E5" s="4" t="s">
        <v>433</v>
      </c>
      <c r="F5" s="4" t="s">
        <v>90</v>
      </c>
      <c r="G5" t="s">
        <v>507</v>
      </c>
    </row>
    <row r="6" spans="1:7" x14ac:dyDescent="0.2">
      <c r="A6" t="s">
        <v>484</v>
      </c>
      <c r="B6" s="4" t="str">
        <f>'Deal Fact Sheet '!B6</f>
        <v>46488-07</v>
      </c>
      <c r="C6" s="6" cm="1">
        <f t="array" ref="C6">_xll.PBM(B6,"Market Cap","15-Jun-2026","15-Jun-2026","0","d","asc","USD","/1000000000")</f>
        <v>2536.031054865</v>
      </c>
      <c r="D6" s="4" t="s">
        <v>66</v>
      </c>
      <c r="E6" s="4" t="s">
        <v>185</v>
      </c>
      <c r="F6" s="4" t="s">
        <v>102</v>
      </c>
      <c r="G6" t="s">
        <v>508</v>
      </c>
    </row>
    <row r="7" spans="1:7" x14ac:dyDescent="0.2">
      <c r="A7" t="s">
        <v>485</v>
      </c>
      <c r="B7" s="4" t="str" cm="1">
        <f t="array" ref="B7">_xll.PBMATCHPBID('Deal Fact Sheet '!C7)</f>
        <v>46488-07</v>
      </c>
      <c r="C7" s="6">
        <v>297.3</v>
      </c>
      <c r="D7" s="4" t="s">
        <v>460</v>
      </c>
      <c r="E7" s="4" t="s">
        <v>314</v>
      </c>
      <c r="F7" s="4" t="s">
        <v>89</v>
      </c>
      <c r="G7" t="s">
        <v>509</v>
      </c>
    </row>
    <row r="8" spans="1:7" x14ac:dyDescent="0.2">
      <c r="A8" t="s">
        <v>486</v>
      </c>
      <c r="B8" s="4" t="str" cm="1">
        <f t="array" ref="B8">_xll.PBMATCHPBID('Deal Fact Sheet '!C7)</f>
        <v>46488-07</v>
      </c>
      <c r="C8" s="18">
        <f>IFERROR(C5/C6,"N/D")</f>
        <v>2.3659016274622854E-2</v>
      </c>
      <c r="D8" s="4" t="s">
        <v>68</v>
      </c>
      <c r="E8" s="4" t="s">
        <v>314</v>
      </c>
      <c r="F8" s="4" t="s">
        <v>102</v>
      </c>
      <c r="G8" t="s">
        <v>510</v>
      </c>
    </row>
    <row r="9" spans="1:7" x14ac:dyDescent="0.2">
      <c r="A9" t="s">
        <v>487</v>
      </c>
      <c r="B9" s="4" t="str" cm="1">
        <f t="array" ref="B9">_xll.PBMATCHPBID('Deal Fact Sheet '!C7)</f>
        <v>46488-07</v>
      </c>
      <c r="C9" s="18">
        <f>IFERROR(1-C8,"N/D")</f>
        <v>0.97634098372537714</v>
      </c>
      <c r="D9" s="4" t="s">
        <v>68</v>
      </c>
      <c r="E9" s="4" t="s">
        <v>314</v>
      </c>
      <c r="F9" s="4" t="s">
        <v>102</v>
      </c>
      <c r="G9" t="s">
        <v>511</v>
      </c>
    </row>
    <row r="10" spans="1:7" x14ac:dyDescent="0.2">
      <c r="B10" s="4"/>
      <c r="C10" s="6"/>
      <c r="D10" s="4"/>
      <c r="E10" s="4"/>
      <c r="F10" s="4"/>
    </row>
    <row r="11" spans="1:7" ht="22" x14ac:dyDescent="0.3">
      <c r="A11" s="3" t="s">
        <v>489</v>
      </c>
      <c r="B11" s="4"/>
      <c r="C11" s="6"/>
      <c r="D11" s="4"/>
      <c r="E11" s="4"/>
      <c r="F11" s="4"/>
    </row>
    <row r="12" spans="1:7" x14ac:dyDescent="0.2">
      <c r="A12" t="s">
        <v>490</v>
      </c>
      <c r="B12" s="4" t="str" cm="1">
        <f t="array" ref="B12">_xll.PBMATCHPBID('Deal Fact Sheet '!C7)</f>
        <v>46488-07</v>
      </c>
      <c r="C12" s="6" cm="1">
        <f t="array" ref="C12">_xll.PBM(B12,"Close Price","15-Jun-2026","15-Jun-2026","0","d","asc","USD","")</f>
        <v>192.5</v>
      </c>
      <c r="D12" s="4" t="s">
        <v>184</v>
      </c>
      <c r="E12" s="4" t="s">
        <v>185</v>
      </c>
      <c r="F12" s="4" t="s">
        <v>102</v>
      </c>
      <c r="G12" t="s">
        <v>512</v>
      </c>
    </row>
    <row r="13" spans="1:7" x14ac:dyDescent="0.2">
      <c r="A13" t="s">
        <v>491</v>
      </c>
      <c r="B13" s="4" t="str" cm="1">
        <f t="array" ref="B13">_xll.PBMATCHPBID('Deal Fact Sheet '!C7)</f>
        <v>46488-07</v>
      </c>
      <c r="C13" s="6" cm="1">
        <f t="array" ref="C13">_xll.PBM(B13,"Close Price","16-Jun-2026","16-Jun-2026","0","d","asc","USD","")</f>
        <v>201.8</v>
      </c>
      <c r="D13" s="4" t="s">
        <v>184</v>
      </c>
      <c r="E13" s="4" t="s">
        <v>185</v>
      </c>
      <c r="F13" s="4" t="s">
        <v>102</v>
      </c>
      <c r="G13" t="s">
        <v>513</v>
      </c>
    </row>
    <row r="14" spans="1:7" x14ac:dyDescent="0.2">
      <c r="A14" t="s">
        <v>492</v>
      </c>
      <c r="B14" s="4" t="str" cm="1">
        <f t="array" ref="B14">_xll.PBMATCHPBID('Deal Fact Sheet '!C7)</f>
        <v>46488-07</v>
      </c>
      <c r="C14" s="6">
        <f>IFERROR(C13/C12-1,"N/D")</f>
        <v>4.8311688311688306E-2</v>
      </c>
      <c r="D14" s="4" t="s">
        <v>68</v>
      </c>
      <c r="E14" s="4" t="s">
        <v>100</v>
      </c>
      <c r="F14" s="4" t="s">
        <v>90</v>
      </c>
      <c r="G14" t="s">
        <v>514</v>
      </c>
    </row>
    <row r="15" spans="1:7" x14ac:dyDescent="0.2">
      <c r="A15" t="s">
        <v>493</v>
      </c>
      <c r="B15" s="4" t="str" cm="1">
        <f t="array" ref="B15">_xll.PBMATCHPBID('Deal Fact Sheet '!C7)</f>
        <v>46488-07</v>
      </c>
      <c r="C15" s="6" cm="1">
        <f t="array" ref="C15">_xll.PBM(B15,"Market Cap","15-Jun-2026","15-Jun-2026","0","d","asc","USD","/1000000000")</f>
        <v>2536.031054865</v>
      </c>
      <c r="D15" s="4" t="s">
        <v>66</v>
      </c>
      <c r="E15" s="4" t="s">
        <v>185</v>
      </c>
      <c r="F15" s="4" t="s">
        <v>102</v>
      </c>
      <c r="G15" t="s">
        <v>515</v>
      </c>
    </row>
    <row r="16" spans="1:7" x14ac:dyDescent="0.2">
      <c r="A16" t="s">
        <v>494</v>
      </c>
      <c r="B16" s="4" t="str" cm="1">
        <f t="array" ref="B16">_xll.PBMATCHPBID('Deal Fact Sheet '!C7)</f>
        <v>46488-07</v>
      </c>
      <c r="C16" s="6" cm="1">
        <f t="array" ref="C16">_xll.PBM(B16,"Market Cap","16-Jun-2026","16-Jun-2026","0","d","asc","USD","/1000000000")</f>
        <v>2658.5509967359999</v>
      </c>
      <c r="D16" s="4" t="s">
        <v>66</v>
      </c>
      <c r="E16" s="4" t="s">
        <v>185</v>
      </c>
      <c r="F16" s="4" t="s">
        <v>102</v>
      </c>
      <c r="G16" t="s">
        <v>516</v>
      </c>
    </row>
    <row r="17" spans="1:7" x14ac:dyDescent="0.2">
      <c r="A17" t="s">
        <v>495</v>
      </c>
      <c r="B17" s="4" t="str" cm="1">
        <f t="array" ref="B17">_xll.PBMATCHPBID('Deal Fact Sheet '!C7)</f>
        <v>46488-07</v>
      </c>
      <c r="C17" s="6">
        <f>IFERROR(C16-C15,"N/D")</f>
        <v>122.5199418709999</v>
      </c>
      <c r="D17" s="4" t="s">
        <v>66</v>
      </c>
      <c r="E17" s="4" t="s">
        <v>100</v>
      </c>
      <c r="F17" s="4" t="s">
        <v>90</v>
      </c>
      <c r="G17" t="s">
        <v>517</v>
      </c>
    </row>
    <row r="18" spans="1:7" x14ac:dyDescent="0.2">
      <c r="B18" s="4"/>
      <c r="C18" s="6"/>
      <c r="D18" s="4"/>
      <c r="E18" s="4"/>
      <c r="F18" s="4"/>
    </row>
    <row r="19" spans="1:7" ht="22" x14ac:dyDescent="0.3">
      <c r="A19" s="3" t="s">
        <v>496</v>
      </c>
      <c r="B19" s="4"/>
      <c r="C19" s="6"/>
      <c r="D19" s="4"/>
      <c r="E19" s="4"/>
      <c r="F19" s="4"/>
    </row>
    <row r="20" spans="1:7" x14ac:dyDescent="0.2">
      <c r="A20" t="s">
        <v>497</v>
      </c>
      <c r="B20" s="4" t="str" cm="1">
        <f t="array" ref="B20">_xll.PBMATCHPBID('Deal Fact Sheet '!$C$7)</f>
        <v>46488-07</v>
      </c>
      <c r="C20" s="6">
        <f>C17</f>
        <v>122.5199418709999</v>
      </c>
      <c r="D20" s="4" t="s">
        <v>66</v>
      </c>
      <c r="E20" s="4" t="s">
        <v>100</v>
      </c>
      <c r="F20" s="4" t="s">
        <v>90</v>
      </c>
      <c r="G20" t="s">
        <v>518</v>
      </c>
    </row>
    <row r="21" spans="1:7" x14ac:dyDescent="0.2">
      <c r="A21" t="s">
        <v>385</v>
      </c>
      <c r="B21" s="4" t="str" cm="1">
        <f t="array" ref="B21">_xll.PBMATCHPBID('Deal Fact Sheet '!$C$7)</f>
        <v>46488-07</v>
      </c>
      <c r="C21" s="6">
        <f>C5</f>
        <v>60</v>
      </c>
      <c r="D21" s="4" t="s">
        <v>66</v>
      </c>
      <c r="E21" s="4" t="s">
        <v>433</v>
      </c>
      <c r="F21" s="4" t="s">
        <v>90</v>
      </c>
      <c r="G21" t="s">
        <v>519</v>
      </c>
    </row>
    <row r="22" spans="1:7" x14ac:dyDescent="0.2">
      <c r="A22" t="s">
        <v>498</v>
      </c>
      <c r="B22" s="4" t="str" cm="1">
        <f t="array" ref="B22">_xll.PBMATCHPBID('Deal Fact Sheet '!$C$7)</f>
        <v>46488-07</v>
      </c>
      <c r="C22" s="6">
        <f>IFERROR(C20-C21,"N/D")</f>
        <v>62.519941870999901</v>
      </c>
      <c r="D22" s="4" t="s">
        <v>66</v>
      </c>
      <c r="E22" s="4" t="s">
        <v>100</v>
      </c>
      <c r="F22" s="4" t="s">
        <v>89</v>
      </c>
      <c r="G22" t="s">
        <v>520</v>
      </c>
    </row>
    <row r="23" spans="1:7" x14ac:dyDescent="0.2">
      <c r="A23" t="s">
        <v>499</v>
      </c>
      <c r="B23" s="4" t="str" cm="1">
        <f t="array" ref="B23">_xll.PBMATCHPBID('Deal Fact Sheet '!$C$7)</f>
        <v>46488-07</v>
      </c>
      <c r="C23" s="6">
        <f>IFERROR(C22/C21,"N/D")</f>
        <v>1.0419990311833316</v>
      </c>
      <c r="D23" s="4" t="s">
        <v>68</v>
      </c>
      <c r="E23" s="4" t="s">
        <v>100</v>
      </c>
      <c r="F23" s="4" t="s">
        <v>89</v>
      </c>
      <c r="G23" t="s">
        <v>521</v>
      </c>
    </row>
    <row r="24" spans="1:7" x14ac:dyDescent="0.2">
      <c r="B24" s="4"/>
      <c r="C24" s="6"/>
      <c r="D24" s="4"/>
      <c r="E24" s="4"/>
      <c r="F24" s="4"/>
    </row>
    <row r="25" spans="1:7" ht="22" x14ac:dyDescent="0.3">
      <c r="A25" s="3" t="s">
        <v>500</v>
      </c>
      <c r="B25" s="4"/>
      <c r="C25" s="6"/>
      <c r="D25" s="4"/>
      <c r="E25" s="4"/>
      <c r="F25" s="4"/>
    </row>
    <row r="26" spans="1:7" x14ac:dyDescent="0.2">
      <c r="A26" t="s">
        <v>501</v>
      </c>
      <c r="B26" s="4" t="str" cm="1">
        <f t="array" ref="B26">_xll.PBMATCHPBID('Deal Fact Sheet '!$C$7)</f>
        <v>46488-07</v>
      </c>
      <c r="C26" s="6">
        <f>C8</f>
        <v>2.3659016274622854E-2</v>
      </c>
      <c r="D26" s="4" t="s">
        <v>68</v>
      </c>
      <c r="E26" s="4" t="s">
        <v>100</v>
      </c>
      <c r="F26" s="4" t="s">
        <v>90</v>
      </c>
      <c r="G26" t="s">
        <v>522</v>
      </c>
    </row>
    <row r="27" spans="1:7" x14ac:dyDescent="0.2">
      <c r="A27" t="s">
        <v>502</v>
      </c>
      <c r="B27" s="4" t="str" cm="1">
        <f t="array" ref="B27">_xll.PBMATCHPBID('Deal Fact Sheet '!$C$7)</f>
        <v>46488-07</v>
      </c>
      <c r="C27" s="6">
        <f>IFERROR(C26-C23,"N/D")</f>
        <v>-1.0183400149087087</v>
      </c>
      <c r="D27" s="4" t="s">
        <v>68</v>
      </c>
      <c r="E27" s="4" t="s">
        <v>100</v>
      </c>
      <c r="F27" s="4" t="s">
        <v>89</v>
      </c>
      <c r="G27" t="s">
        <v>523</v>
      </c>
    </row>
    <row r="28" spans="1:7" x14ac:dyDescent="0.2">
      <c r="A28" t="s">
        <v>931</v>
      </c>
      <c r="B28" s="4" t="str" cm="1">
        <f t="array" ref="B28">_xll.PBMATCHPBID('Deal Fact Sheet '!$C$7)</f>
        <v>46488-07</v>
      </c>
      <c r="C28" s="6">
        <f>C22</f>
        <v>62.519941870999901</v>
      </c>
      <c r="D28" s="4" t="s">
        <v>66</v>
      </c>
      <c r="E28" s="4" t="s">
        <v>100</v>
      </c>
      <c r="F28" s="4" t="s">
        <v>89</v>
      </c>
      <c r="G28" t="s">
        <v>524</v>
      </c>
    </row>
    <row r="29" spans="1:7" x14ac:dyDescent="0.2">
      <c r="A29" t="s">
        <v>503</v>
      </c>
      <c r="B29" s="4" t="str" cm="1">
        <f t="array" ref="B29">_xll.PBMATCHPBID('Deal Fact Sheet '!$C$7)</f>
        <v>46488-07</v>
      </c>
      <c r="C29" s="4" t="str">
        <f>IF(C28&gt;0,"Positive","Negative")</f>
        <v>Positive</v>
      </c>
      <c r="D29" s="4" t="s">
        <v>94</v>
      </c>
      <c r="E29" s="4" t="s">
        <v>100</v>
      </c>
      <c r="F29" s="4" t="s">
        <v>89</v>
      </c>
      <c r="G29" t="s">
        <v>525</v>
      </c>
    </row>
    <row r="30" spans="1:7" x14ac:dyDescent="0.2">
      <c r="B30" s="4"/>
      <c r="C30" s="4"/>
      <c r="D30" s="4"/>
      <c r="E30" s="4"/>
      <c r="F30" s="4"/>
    </row>
    <row r="31" spans="1:7" ht="22" x14ac:dyDescent="0.3">
      <c r="A31" s="3" t="s">
        <v>504</v>
      </c>
      <c r="B31" s="4"/>
      <c r="C31" s="4"/>
      <c r="D31" s="4"/>
      <c r="E31" s="4"/>
      <c r="F31" s="4"/>
    </row>
    <row r="32" spans="1:7" x14ac:dyDescent="0.2">
      <c r="A32" t="s">
        <v>505</v>
      </c>
      <c r="B32" s="4" t="str" cm="1">
        <f t="array" ref="B32">_xll.PBMATCHPBID('Deal Fact Sheet '!$C$7)</f>
        <v>46488-07</v>
      </c>
      <c r="C32" s="4" t="b">
        <f>IF(C8&gt;0,TRUE,FALSE)</f>
        <v>1</v>
      </c>
      <c r="D32" s="4" t="s">
        <v>449</v>
      </c>
      <c r="E32" s="4" t="s">
        <v>100</v>
      </c>
      <c r="F32" s="4" t="s">
        <v>90</v>
      </c>
      <c r="G32" t="s">
        <v>526</v>
      </c>
    </row>
    <row r="33" spans="1:7" x14ac:dyDescent="0.2">
      <c r="A33" t="s">
        <v>506</v>
      </c>
      <c r="B33" s="4" t="str" cm="1">
        <f t="array" ref="B33">_xll.PBMATCHPBID('Deal Fact Sheet '!$C$7)</f>
        <v>46488-07</v>
      </c>
      <c r="C33" s="4" t="b">
        <f>IF(C23&gt;0,TRUE,FALSE)</f>
        <v>1</v>
      </c>
      <c r="D33" s="4" t="s">
        <v>449</v>
      </c>
      <c r="E33" s="4" t="s">
        <v>100</v>
      </c>
      <c r="F33" s="4" t="s">
        <v>89</v>
      </c>
      <c r="G33" t="s">
        <v>527</v>
      </c>
    </row>
    <row r="34" spans="1:7" x14ac:dyDescent="0.2">
      <c r="A34" t="s">
        <v>933</v>
      </c>
      <c r="B34" s="4" t="str" cm="1">
        <f t="array" ref="B34">_xll.PBMATCHPBID('Deal Fact Sheet '!$C$7)</f>
        <v>46488-07</v>
      </c>
      <c r="C34" s="4" t="b">
        <f>IF(C17&gt;0,TRUE,FALSE)</f>
        <v>1</v>
      </c>
      <c r="D34" s="4" t="s">
        <v>449</v>
      </c>
      <c r="E34" s="4" t="s">
        <v>100</v>
      </c>
      <c r="F34" s="4" t="s">
        <v>89</v>
      </c>
      <c r="G34" t="s">
        <v>528</v>
      </c>
    </row>
    <row r="35" spans="1:7" x14ac:dyDescent="0.2">
      <c r="A35" t="s">
        <v>930</v>
      </c>
      <c r="B35" s="4" t="str" cm="1">
        <f t="array" ref="B35">_xll.PBMATCHPBID('Deal Fact Sheet '!$C$7)</f>
        <v>46488-07</v>
      </c>
      <c r="C35" s="4" t="b">
        <f>IF(C17&gt;C5,TRUE,FALSE)</f>
        <v>1</v>
      </c>
      <c r="D35" s="4" t="s">
        <v>449</v>
      </c>
      <c r="E35" s="4" t="s">
        <v>100</v>
      </c>
      <c r="F35" s="4" t="s">
        <v>279</v>
      </c>
      <c r="G35" t="s">
        <v>529</v>
      </c>
    </row>
    <row r="36" spans="1:7" x14ac:dyDescent="0.2">
      <c r="A36" t="s">
        <v>928</v>
      </c>
      <c r="B36" s="4" t="str" cm="1">
        <f t="array" ref="B36">_xll.PBMATCHPBID('Deal Fact Sheet '!$C$7)</f>
        <v>46488-07</v>
      </c>
      <c r="C36" s="19">
        <f>C22</f>
        <v>62.519941870999901</v>
      </c>
      <c r="D36" s="4" t="s">
        <v>66</v>
      </c>
      <c r="E36" s="4" t="s">
        <v>100</v>
      </c>
      <c r="F36" s="4" t="s">
        <v>89</v>
      </c>
      <c r="G36" t="s">
        <v>929</v>
      </c>
    </row>
  </sheetData>
  <mergeCells count="1">
    <mergeCell ref="A1:G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DEA9B-14FC-0A4F-97B5-FCE1C904FD8B}">
  <dimension ref="A1:K79"/>
  <sheetViews>
    <sheetView showGridLines="0" zoomScale="75" workbookViewId="0">
      <pane ySplit="3" topLeftCell="A4" activePane="bottomLeft" state="frozen"/>
      <selection pane="bottomLeft" activeCell="N64" sqref="N64"/>
    </sheetView>
  </sheetViews>
  <sheetFormatPr baseColWidth="10" defaultRowHeight="16" x14ac:dyDescent="0.2"/>
  <cols>
    <col min="1" max="1" width="47.83203125" customWidth="1"/>
    <col min="2" max="2" width="21.6640625" customWidth="1"/>
    <col min="3" max="3" width="106.6640625" customWidth="1"/>
    <col min="4" max="4" width="38.33203125" customWidth="1"/>
    <col min="5" max="5" width="31.33203125" customWidth="1"/>
    <col min="6" max="6" width="17.83203125" customWidth="1"/>
    <col min="7" max="7" width="14" customWidth="1"/>
    <col min="8" max="8" width="26.83203125" customWidth="1"/>
    <col min="9" max="9" width="36" style="4" customWidth="1"/>
    <col min="10" max="10" width="10.83203125" style="4" customWidth="1"/>
    <col min="11" max="11" width="142.1640625" style="4" customWidth="1"/>
    <col min="12" max="12" width="10.83203125" customWidth="1"/>
  </cols>
  <sheetData>
    <row r="1" spans="1:11" s="1" customFormat="1" ht="22" x14ac:dyDescent="0.3">
      <c r="A1" s="20" t="s">
        <v>531</v>
      </c>
      <c r="B1" s="20"/>
      <c r="C1" s="20"/>
      <c r="D1" s="20"/>
      <c r="E1" s="20"/>
      <c r="F1" s="20"/>
      <c r="I1" s="2"/>
      <c r="J1" s="2"/>
      <c r="K1" s="2"/>
    </row>
    <row r="3" spans="1:11" s="2" customFormat="1" x14ac:dyDescent="0.2">
      <c r="A3" s="2" t="s">
        <v>532</v>
      </c>
      <c r="B3" s="2" t="s">
        <v>533</v>
      </c>
      <c r="C3" s="2" t="s">
        <v>534</v>
      </c>
      <c r="D3" s="2" t="s">
        <v>535</v>
      </c>
      <c r="E3" s="2" t="s">
        <v>536</v>
      </c>
      <c r="F3" s="2" t="s">
        <v>537</v>
      </c>
      <c r="G3" s="2" t="s">
        <v>5</v>
      </c>
    </row>
    <row r="4" spans="1:11" ht="22" x14ac:dyDescent="0.3">
      <c r="A4" s="3" t="s">
        <v>538</v>
      </c>
    </row>
    <row r="5" spans="1:11" x14ac:dyDescent="0.2">
      <c r="A5" t="s">
        <v>539</v>
      </c>
      <c r="B5" t="s">
        <v>628</v>
      </c>
      <c r="C5" t="s">
        <v>629</v>
      </c>
      <c r="D5" t="s">
        <v>630</v>
      </c>
      <c r="E5" s="4" t="s">
        <v>631</v>
      </c>
      <c r="F5" s="4" t="s">
        <v>632</v>
      </c>
      <c r="G5" s="4" t="s">
        <v>89</v>
      </c>
    </row>
    <row r="6" spans="1:11" x14ac:dyDescent="0.2">
      <c r="A6" t="s">
        <v>540</v>
      </c>
      <c r="B6" t="s">
        <v>633</v>
      </c>
      <c r="C6" t="s">
        <v>634</v>
      </c>
      <c r="D6" t="s">
        <v>635</v>
      </c>
      <c r="E6" s="4" t="s">
        <v>631</v>
      </c>
      <c r="F6" s="4" t="s">
        <v>632</v>
      </c>
      <c r="G6" s="4" t="s">
        <v>89</v>
      </c>
    </row>
    <row r="7" spans="1:11" x14ac:dyDescent="0.2">
      <c r="A7" t="s">
        <v>541</v>
      </c>
      <c r="B7" t="s">
        <v>628</v>
      </c>
      <c r="C7" t="s">
        <v>636</v>
      </c>
      <c r="D7" t="s">
        <v>637</v>
      </c>
      <c r="E7" s="4" t="s">
        <v>638</v>
      </c>
      <c r="F7" s="4" t="s">
        <v>632</v>
      </c>
      <c r="G7" s="4" t="s">
        <v>93</v>
      </c>
    </row>
    <row r="8" spans="1:11" x14ac:dyDescent="0.2">
      <c r="A8" t="s">
        <v>542</v>
      </c>
      <c r="B8" t="s">
        <v>639</v>
      </c>
      <c r="C8" t="s">
        <v>640</v>
      </c>
      <c r="D8" t="s">
        <v>641</v>
      </c>
      <c r="E8" s="4" t="s">
        <v>638</v>
      </c>
      <c r="F8" s="4" t="s">
        <v>471</v>
      </c>
      <c r="G8" s="4" t="s">
        <v>89</v>
      </c>
    </row>
    <row r="9" spans="1:11" x14ac:dyDescent="0.2">
      <c r="A9" t="s">
        <v>543</v>
      </c>
      <c r="B9" t="s">
        <v>642</v>
      </c>
      <c r="C9" t="s">
        <v>643</v>
      </c>
      <c r="D9" t="s">
        <v>644</v>
      </c>
      <c r="E9" s="4" t="s">
        <v>638</v>
      </c>
      <c r="F9" s="4" t="s">
        <v>632</v>
      </c>
      <c r="G9" s="4" t="s">
        <v>93</v>
      </c>
    </row>
    <row r="10" spans="1:11" x14ac:dyDescent="0.2">
      <c r="A10" t="s">
        <v>544</v>
      </c>
      <c r="B10" t="s">
        <v>645</v>
      </c>
      <c r="C10" t="s">
        <v>646</v>
      </c>
      <c r="D10" t="s">
        <v>647</v>
      </c>
      <c r="E10" s="4" t="s">
        <v>631</v>
      </c>
      <c r="F10" s="4" t="s">
        <v>448</v>
      </c>
      <c r="G10" s="4" t="s">
        <v>89</v>
      </c>
    </row>
    <row r="11" spans="1:11" x14ac:dyDescent="0.2">
      <c r="A11" t="s">
        <v>545</v>
      </c>
      <c r="B11" t="s">
        <v>648</v>
      </c>
      <c r="C11" t="s">
        <v>649</v>
      </c>
      <c r="D11" t="s">
        <v>650</v>
      </c>
      <c r="E11" s="4" t="s">
        <v>631</v>
      </c>
      <c r="F11" s="4" t="s">
        <v>448</v>
      </c>
      <c r="G11" s="4" t="s">
        <v>89</v>
      </c>
    </row>
    <row r="12" spans="1:11" x14ac:dyDescent="0.2">
      <c r="A12" t="s">
        <v>546</v>
      </c>
      <c r="B12" t="s">
        <v>648</v>
      </c>
      <c r="C12" t="s">
        <v>651</v>
      </c>
      <c r="D12" t="s">
        <v>652</v>
      </c>
      <c r="E12" s="4" t="s">
        <v>631</v>
      </c>
      <c r="F12" s="4" t="s">
        <v>448</v>
      </c>
      <c r="G12" s="4" t="s">
        <v>279</v>
      </c>
    </row>
    <row r="13" spans="1:11" x14ac:dyDescent="0.2">
      <c r="E13" s="4"/>
      <c r="F13" s="4"/>
      <c r="G13" s="4"/>
    </row>
    <row r="14" spans="1:11" ht="22" x14ac:dyDescent="0.3">
      <c r="A14" s="3" t="s">
        <v>547</v>
      </c>
      <c r="E14" s="4"/>
      <c r="F14" s="4"/>
      <c r="G14" s="4"/>
    </row>
    <row r="15" spans="1:11" x14ac:dyDescent="0.2">
      <c r="A15" t="s">
        <v>548</v>
      </c>
      <c r="B15" t="s">
        <v>642</v>
      </c>
      <c r="C15" t="s">
        <v>653</v>
      </c>
      <c r="D15" t="s">
        <v>654</v>
      </c>
      <c r="E15" s="4" t="s">
        <v>631</v>
      </c>
      <c r="F15" s="4" t="s">
        <v>471</v>
      </c>
      <c r="G15" s="4" t="s">
        <v>89</v>
      </c>
    </row>
    <row r="16" spans="1:11" x14ac:dyDescent="0.2">
      <c r="A16" t="s">
        <v>549</v>
      </c>
      <c r="B16" t="s">
        <v>642</v>
      </c>
      <c r="C16" t="s">
        <v>655</v>
      </c>
      <c r="D16" t="s">
        <v>656</v>
      </c>
      <c r="E16" s="4" t="s">
        <v>638</v>
      </c>
      <c r="F16" s="4" t="s">
        <v>471</v>
      </c>
      <c r="G16" s="4" t="s">
        <v>89</v>
      </c>
    </row>
    <row r="17" spans="1:11" x14ac:dyDescent="0.2">
      <c r="A17" t="s">
        <v>550</v>
      </c>
      <c r="B17" t="s">
        <v>642</v>
      </c>
      <c r="C17" t="s">
        <v>657</v>
      </c>
      <c r="D17" t="s">
        <v>658</v>
      </c>
      <c r="E17" s="4" t="s">
        <v>638</v>
      </c>
      <c r="F17" s="4" t="s">
        <v>471</v>
      </c>
      <c r="G17" s="4" t="s">
        <v>93</v>
      </c>
    </row>
    <row r="18" spans="1:11" x14ac:dyDescent="0.2">
      <c r="A18" t="s">
        <v>551</v>
      </c>
      <c r="B18" t="s">
        <v>642</v>
      </c>
      <c r="C18" t="s">
        <v>659</v>
      </c>
      <c r="D18" t="s">
        <v>660</v>
      </c>
      <c r="E18" s="4" t="s">
        <v>638</v>
      </c>
      <c r="F18" s="4" t="s">
        <v>632</v>
      </c>
      <c r="G18" s="4" t="s">
        <v>93</v>
      </c>
    </row>
    <row r="19" spans="1:11" x14ac:dyDescent="0.2">
      <c r="A19" t="s">
        <v>552</v>
      </c>
      <c r="B19" t="s">
        <v>642</v>
      </c>
      <c r="C19" t="s">
        <v>661</v>
      </c>
      <c r="D19" t="s">
        <v>662</v>
      </c>
      <c r="E19" s="4" t="s">
        <v>638</v>
      </c>
      <c r="F19" s="4" t="s">
        <v>632</v>
      </c>
      <c r="G19" s="4" t="s">
        <v>93</v>
      </c>
    </row>
    <row r="20" spans="1:11" x14ac:dyDescent="0.2">
      <c r="A20" t="s">
        <v>553</v>
      </c>
      <c r="B20" t="s">
        <v>642</v>
      </c>
      <c r="C20" t="s">
        <v>663</v>
      </c>
      <c r="D20" t="s">
        <v>664</v>
      </c>
      <c r="E20" s="4" t="s">
        <v>665</v>
      </c>
      <c r="F20" s="4" t="s">
        <v>632</v>
      </c>
      <c r="G20" s="4" t="s">
        <v>279</v>
      </c>
    </row>
    <row r="21" spans="1:11" x14ac:dyDescent="0.2">
      <c r="A21" t="s">
        <v>554</v>
      </c>
      <c r="B21" t="s">
        <v>642</v>
      </c>
      <c r="C21" t="s">
        <v>666</v>
      </c>
      <c r="D21" t="s">
        <v>667</v>
      </c>
      <c r="E21" s="4" t="s">
        <v>665</v>
      </c>
      <c r="F21" s="4" t="s">
        <v>632</v>
      </c>
      <c r="G21" s="4" t="s">
        <v>103</v>
      </c>
    </row>
    <row r="23" spans="1:11" ht="19" x14ac:dyDescent="0.25">
      <c r="A23" s="30" t="s">
        <v>555</v>
      </c>
    </row>
    <row r="24" spans="1:11" s="29" customFormat="1" x14ac:dyDescent="0.2">
      <c r="A24" s="28" t="s">
        <v>556</v>
      </c>
      <c r="B24" s="28" t="s">
        <v>557</v>
      </c>
      <c r="C24" s="37" t="s">
        <v>558</v>
      </c>
      <c r="D24" s="28" t="s">
        <v>559</v>
      </c>
      <c r="E24" s="28" t="s">
        <v>560</v>
      </c>
      <c r="F24" s="28"/>
      <c r="G24" s="28" t="s">
        <v>561</v>
      </c>
      <c r="H24" s="38" t="s">
        <v>562</v>
      </c>
      <c r="I24" s="37" t="s">
        <v>219</v>
      </c>
      <c r="J24" s="88" t="s">
        <v>257</v>
      </c>
      <c r="K24" s="89"/>
    </row>
    <row r="25" spans="1:11" x14ac:dyDescent="0.2">
      <c r="A25" s="24" t="s">
        <v>563</v>
      </c>
      <c r="B25" s="4">
        <v>500</v>
      </c>
      <c r="C25" s="4">
        <v>0.1</v>
      </c>
      <c r="D25" s="4">
        <v>5.0000000000000001E-3</v>
      </c>
      <c r="E25" s="4">
        <f>IF(OR(B25="",C25="",D25=""),"N/D",B25*C25*D25)</f>
        <v>0.25</v>
      </c>
      <c r="G25" s="4">
        <v>0.5</v>
      </c>
      <c r="H25" s="4">
        <f>IF(OR(E25="N/D",G25=""),"N/D",E25*G25)</f>
        <v>0.125</v>
      </c>
      <c r="I25" s="4" t="s">
        <v>89</v>
      </c>
      <c r="J25" s="86" t="s">
        <v>725</v>
      </c>
      <c r="K25" s="86"/>
    </row>
    <row r="26" spans="1:11" x14ac:dyDescent="0.2">
      <c r="A26" s="24" t="s">
        <v>564</v>
      </c>
      <c r="B26" s="4">
        <f>'Deal Fact Sheet '!C47</f>
        <v>2</v>
      </c>
      <c r="C26" s="4">
        <v>0.2</v>
      </c>
      <c r="D26" s="4">
        <v>0.2</v>
      </c>
      <c r="E26" s="4">
        <f>IF(OR(B26="",C26="",D26=""),"N/D",B26*C26*D26)</f>
        <v>8.0000000000000016E-2</v>
      </c>
      <c r="G26" s="4">
        <v>0.6</v>
      </c>
      <c r="H26" s="4">
        <f>IF(OR(E26="N/D",G26=""),"N/D",E26*G26)</f>
        <v>4.8000000000000008E-2</v>
      </c>
      <c r="I26" s="4" t="s">
        <v>93</v>
      </c>
      <c r="J26" s="86" t="s">
        <v>726</v>
      </c>
      <c r="K26" s="86"/>
    </row>
    <row r="27" spans="1:11" x14ac:dyDescent="0.2">
      <c r="A27" s="24" t="s">
        <v>565</v>
      </c>
      <c r="B27" s="4">
        <v>1</v>
      </c>
      <c r="C27" s="4">
        <v>0.3</v>
      </c>
      <c r="D27" s="4">
        <v>1</v>
      </c>
      <c r="E27" s="4">
        <f>IF(OR(B27="",C27="",D27=""),"N/D",B27*C27*D27)</f>
        <v>0.3</v>
      </c>
      <c r="G27" s="4">
        <v>0.45</v>
      </c>
      <c r="H27" s="4">
        <f>IF(OR(E27="N/D",G27=""),"N/D",E27*G27)</f>
        <v>0.13500000000000001</v>
      </c>
      <c r="I27" s="4" t="s">
        <v>93</v>
      </c>
      <c r="J27" s="86" t="s">
        <v>727</v>
      </c>
      <c r="K27" s="86"/>
    </row>
    <row r="28" spans="1:11" x14ac:dyDescent="0.2">
      <c r="A28" s="36" t="s">
        <v>566</v>
      </c>
      <c r="B28" s="27">
        <v>20</v>
      </c>
      <c r="C28" s="27">
        <v>0.25</v>
      </c>
      <c r="D28" s="27">
        <v>2.5000000000000001E-2</v>
      </c>
      <c r="E28" s="27">
        <f>IF(OR(B28="",C28="",D28=""),"N/D",B28*C28*D28)</f>
        <v>0.125</v>
      </c>
      <c r="F28" s="26"/>
      <c r="G28" s="27">
        <v>0.35</v>
      </c>
      <c r="H28" s="27">
        <f>IF(OR(E28="N/D",G28=""),"N/D",E28*G28)</f>
        <v>4.3749999999999997E-2</v>
      </c>
      <c r="I28" s="27" t="s">
        <v>279</v>
      </c>
      <c r="J28" s="90" t="s">
        <v>728</v>
      </c>
      <c r="K28" s="91"/>
    </row>
    <row r="30" spans="1:11" ht="22" x14ac:dyDescent="0.3">
      <c r="A30" s="84" t="s">
        <v>567</v>
      </c>
      <c r="B30" s="84"/>
    </row>
    <row r="31" spans="1:11" x14ac:dyDescent="0.2">
      <c r="A31" t="s">
        <v>568</v>
      </c>
      <c r="B31" t="s">
        <v>668</v>
      </c>
      <c r="C31" t="s">
        <v>669</v>
      </c>
      <c r="D31" t="s">
        <v>670</v>
      </c>
      <c r="E31" t="s">
        <v>671</v>
      </c>
      <c r="F31" t="s">
        <v>471</v>
      </c>
      <c r="G31" t="s">
        <v>89</v>
      </c>
    </row>
    <row r="32" spans="1:11" x14ac:dyDescent="0.2">
      <c r="A32" t="s">
        <v>569</v>
      </c>
      <c r="B32" t="s">
        <v>668</v>
      </c>
      <c r="C32" t="s">
        <v>672</v>
      </c>
      <c r="D32" t="s">
        <v>673</v>
      </c>
      <c r="E32" t="s">
        <v>638</v>
      </c>
      <c r="F32" t="s">
        <v>471</v>
      </c>
      <c r="G32" t="s">
        <v>89</v>
      </c>
    </row>
    <row r="33" spans="1:11" x14ac:dyDescent="0.2">
      <c r="A33" t="s">
        <v>570</v>
      </c>
      <c r="B33" t="s">
        <v>668</v>
      </c>
      <c r="C33" t="s">
        <v>674</v>
      </c>
      <c r="D33" t="s">
        <v>675</v>
      </c>
      <c r="E33" t="s">
        <v>631</v>
      </c>
      <c r="F33" t="s">
        <v>471</v>
      </c>
      <c r="G33" t="s">
        <v>93</v>
      </c>
    </row>
    <row r="34" spans="1:11" x14ac:dyDescent="0.2">
      <c r="A34" t="s">
        <v>571</v>
      </c>
      <c r="B34" t="s">
        <v>676</v>
      </c>
      <c r="C34" t="s">
        <v>677</v>
      </c>
      <c r="D34" t="s">
        <v>678</v>
      </c>
      <c r="E34" t="s">
        <v>638</v>
      </c>
      <c r="F34" t="s">
        <v>632</v>
      </c>
      <c r="G34" t="s">
        <v>93</v>
      </c>
    </row>
    <row r="35" spans="1:11" x14ac:dyDescent="0.2">
      <c r="A35" t="s">
        <v>572</v>
      </c>
      <c r="B35" t="s">
        <v>679</v>
      </c>
      <c r="C35" t="s">
        <v>680</v>
      </c>
      <c r="D35" t="s">
        <v>681</v>
      </c>
      <c r="E35" t="s">
        <v>638</v>
      </c>
      <c r="F35" t="s">
        <v>632</v>
      </c>
      <c r="G35" t="s">
        <v>93</v>
      </c>
    </row>
    <row r="36" spans="1:11" x14ac:dyDescent="0.2">
      <c r="A36" t="s">
        <v>573</v>
      </c>
      <c r="B36" t="s">
        <v>676</v>
      </c>
      <c r="C36" t="s">
        <v>682</v>
      </c>
      <c r="D36" t="s">
        <v>683</v>
      </c>
      <c r="E36" t="s">
        <v>638</v>
      </c>
      <c r="F36" t="s">
        <v>471</v>
      </c>
      <c r="G36" t="s">
        <v>89</v>
      </c>
    </row>
    <row r="37" spans="1:11" x14ac:dyDescent="0.2">
      <c r="A37" t="s">
        <v>574</v>
      </c>
      <c r="B37" t="s">
        <v>684</v>
      </c>
      <c r="C37" t="s">
        <v>685</v>
      </c>
      <c r="D37" t="s">
        <v>686</v>
      </c>
      <c r="E37" t="s">
        <v>638</v>
      </c>
      <c r="F37" t="s">
        <v>632</v>
      </c>
      <c r="G37" t="s">
        <v>93</v>
      </c>
    </row>
    <row r="38" spans="1:11" x14ac:dyDescent="0.2">
      <c r="A38" t="s">
        <v>575</v>
      </c>
      <c r="B38" t="s">
        <v>687</v>
      </c>
      <c r="C38" t="s">
        <v>688</v>
      </c>
      <c r="D38" t="s">
        <v>689</v>
      </c>
      <c r="E38" t="s">
        <v>631</v>
      </c>
      <c r="F38" t="s">
        <v>448</v>
      </c>
      <c r="G38" t="s">
        <v>89</v>
      </c>
    </row>
    <row r="40" spans="1:11" ht="22" x14ac:dyDescent="0.3">
      <c r="A40" s="84" t="s">
        <v>576</v>
      </c>
      <c r="B40" s="84"/>
    </row>
    <row r="42" spans="1:11" ht="19" x14ac:dyDescent="0.25">
      <c r="A42" s="30" t="s">
        <v>577</v>
      </c>
    </row>
    <row r="43" spans="1:11" s="4" customFormat="1" x14ac:dyDescent="0.2">
      <c r="A43" s="22" t="s">
        <v>578</v>
      </c>
      <c r="B43" s="85" t="s">
        <v>579</v>
      </c>
      <c r="C43" s="85"/>
      <c r="D43" s="22" t="s">
        <v>580</v>
      </c>
      <c r="E43" s="85" t="s">
        <v>581</v>
      </c>
      <c r="F43" s="85"/>
      <c r="G43" s="22" t="s">
        <v>582</v>
      </c>
      <c r="H43" s="22" t="s">
        <v>561</v>
      </c>
      <c r="I43" s="22" t="s">
        <v>583</v>
      </c>
      <c r="J43" s="22" t="s">
        <v>219</v>
      </c>
      <c r="K43" s="35" t="s">
        <v>257</v>
      </c>
    </row>
    <row r="44" spans="1:11" x14ac:dyDescent="0.2">
      <c r="A44" s="23" t="s">
        <v>568</v>
      </c>
      <c r="B44" s="33">
        <v>0.8</v>
      </c>
      <c r="C44" s="4"/>
      <c r="D44" s="4">
        <v>0.2</v>
      </c>
      <c r="E44">
        <f>IF(OR(B44="",D44=""),"N/D",B44*D44)</f>
        <v>0.16000000000000003</v>
      </c>
      <c r="G44" s="4">
        <v>2</v>
      </c>
      <c r="H44" s="4">
        <v>0.6</v>
      </c>
      <c r="I44" s="4">
        <f>IF(OR(E44="N/D",H44=""),"N/D",E44*H44)</f>
        <v>9.6000000000000016E-2</v>
      </c>
      <c r="J44" s="4" t="s">
        <v>89</v>
      </c>
      <c r="K44" s="39" t="s">
        <v>729</v>
      </c>
    </row>
    <row r="45" spans="1:11" x14ac:dyDescent="0.2">
      <c r="A45" s="23" t="s">
        <v>584</v>
      </c>
      <c r="B45" s="33">
        <v>0.4</v>
      </c>
      <c r="C45" s="4"/>
      <c r="D45" s="4">
        <v>0.15</v>
      </c>
      <c r="E45">
        <f>IF(OR(B45="",D45=""),"N/D",B45*D45)</f>
        <v>0.06</v>
      </c>
      <c r="G45" s="4">
        <v>3</v>
      </c>
      <c r="H45" s="4">
        <v>0.5</v>
      </c>
      <c r="I45" s="4">
        <f>IF(OR(E45="N/D",H45=""),"N/D",E45*H45)</f>
        <v>0.03</v>
      </c>
      <c r="J45" s="4" t="s">
        <v>93</v>
      </c>
      <c r="K45" s="39" t="s">
        <v>730</v>
      </c>
    </row>
    <row r="46" spans="1:11" x14ac:dyDescent="0.2">
      <c r="A46" s="23" t="s">
        <v>585</v>
      </c>
      <c r="B46" s="33">
        <v>0.3</v>
      </c>
      <c r="C46" s="4"/>
      <c r="D46" s="4">
        <v>0.1</v>
      </c>
      <c r="E46">
        <f>IF(OR(B46="",D46=""),"N/D",B46*D46)</f>
        <v>0.03</v>
      </c>
      <c r="G46" s="4">
        <v>1</v>
      </c>
      <c r="H46" s="4">
        <v>0.6</v>
      </c>
      <c r="I46" s="4">
        <f>IF(OR(E46="N/D",H46=""),"N/D",E46*H46)</f>
        <v>1.7999999999999999E-2</v>
      </c>
      <c r="J46" s="4" t="s">
        <v>93</v>
      </c>
      <c r="K46" s="39" t="s">
        <v>731</v>
      </c>
    </row>
    <row r="47" spans="1:11" x14ac:dyDescent="0.2">
      <c r="A47" s="23" t="s">
        <v>586</v>
      </c>
      <c r="B47" s="33">
        <v>0.5</v>
      </c>
      <c r="C47" s="4"/>
      <c r="D47" s="4">
        <v>0.08</v>
      </c>
      <c r="E47">
        <f>IF(OR(B47="",D47=""),"N/D",B47*D47)</f>
        <v>0.04</v>
      </c>
      <c r="G47" s="4">
        <v>2</v>
      </c>
      <c r="H47" s="4">
        <v>0.5</v>
      </c>
      <c r="I47" s="4">
        <f>IF(OR(E47="N/D",H47=""),"N/D",E47*H47)</f>
        <v>0.02</v>
      </c>
      <c r="J47" s="4" t="s">
        <v>93</v>
      </c>
      <c r="K47" s="39" t="s">
        <v>732</v>
      </c>
    </row>
    <row r="48" spans="1:11" x14ac:dyDescent="0.2">
      <c r="A48" s="25" t="s">
        <v>587</v>
      </c>
      <c r="B48" s="34">
        <v>0.4</v>
      </c>
      <c r="C48" s="27"/>
      <c r="D48" s="27">
        <v>0.1</v>
      </c>
      <c r="E48" s="26">
        <f>IF(OR(B48="",D48=""),"N/D",B48*D48)</f>
        <v>4.0000000000000008E-2</v>
      </c>
      <c r="F48" s="26"/>
      <c r="G48" s="27">
        <v>3</v>
      </c>
      <c r="H48" s="27">
        <v>0.4</v>
      </c>
      <c r="I48" s="27">
        <f>IF(OR(E48="N/D",H48=""),"N/D",E48*H48)</f>
        <v>1.6000000000000004E-2</v>
      </c>
      <c r="J48" s="27" t="s">
        <v>279</v>
      </c>
      <c r="K48" s="40" t="s">
        <v>733</v>
      </c>
    </row>
    <row r="49" spans="1:11" x14ac:dyDescent="0.2">
      <c r="I49" s="87"/>
      <c r="J49" s="87"/>
      <c r="K49" s="87"/>
    </row>
    <row r="50" spans="1:11" ht="22" x14ac:dyDescent="0.3">
      <c r="A50" s="3" t="s">
        <v>588</v>
      </c>
      <c r="B50" s="3"/>
    </row>
    <row r="51" spans="1:11" x14ac:dyDescent="0.2">
      <c r="A51" t="s">
        <v>589</v>
      </c>
      <c r="B51" t="s">
        <v>690</v>
      </c>
      <c r="C51" t="s">
        <v>691</v>
      </c>
      <c r="D51" s="4" t="s">
        <v>692</v>
      </c>
      <c r="E51" s="4" t="s">
        <v>671</v>
      </c>
      <c r="F51" s="4" t="s">
        <v>632</v>
      </c>
      <c r="G51" s="4" t="s">
        <v>89</v>
      </c>
    </row>
    <row r="52" spans="1:11" x14ac:dyDescent="0.2">
      <c r="A52" t="s">
        <v>590</v>
      </c>
      <c r="B52" t="s">
        <v>690</v>
      </c>
      <c r="C52" t="s">
        <v>693</v>
      </c>
      <c r="D52" s="4" t="s">
        <v>694</v>
      </c>
      <c r="E52" s="4" t="s">
        <v>631</v>
      </c>
      <c r="F52" s="4" t="s">
        <v>471</v>
      </c>
      <c r="G52" s="4" t="s">
        <v>89</v>
      </c>
    </row>
    <row r="53" spans="1:11" x14ac:dyDescent="0.2">
      <c r="A53" t="s">
        <v>591</v>
      </c>
      <c r="B53" t="s">
        <v>695</v>
      </c>
      <c r="C53" t="s">
        <v>696</v>
      </c>
      <c r="D53" s="4" t="s">
        <v>697</v>
      </c>
      <c r="E53" s="4" t="s">
        <v>671</v>
      </c>
      <c r="F53" s="4" t="s">
        <v>632</v>
      </c>
      <c r="G53" s="4" t="s">
        <v>89</v>
      </c>
    </row>
    <row r="54" spans="1:11" x14ac:dyDescent="0.2">
      <c r="A54" t="s">
        <v>592</v>
      </c>
      <c r="B54" t="s">
        <v>698</v>
      </c>
      <c r="C54" t="s">
        <v>699</v>
      </c>
      <c r="D54" s="4" t="s">
        <v>700</v>
      </c>
      <c r="E54" s="4" t="s">
        <v>631</v>
      </c>
      <c r="F54" s="4" t="s">
        <v>632</v>
      </c>
      <c r="G54" s="4" t="s">
        <v>93</v>
      </c>
    </row>
    <row r="55" spans="1:11" x14ac:dyDescent="0.2">
      <c r="A55" t="s">
        <v>593</v>
      </c>
      <c r="B55" t="s">
        <v>695</v>
      </c>
      <c r="C55" t="s">
        <v>701</v>
      </c>
      <c r="D55" s="4" t="s">
        <v>702</v>
      </c>
      <c r="E55" s="4" t="s">
        <v>631</v>
      </c>
      <c r="F55" s="4" t="s">
        <v>471</v>
      </c>
      <c r="G55" s="4" t="s">
        <v>93</v>
      </c>
    </row>
    <row r="56" spans="1:11" x14ac:dyDescent="0.2">
      <c r="A56" t="s">
        <v>594</v>
      </c>
      <c r="B56" t="s">
        <v>703</v>
      </c>
      <c r="C56" t="s">
        <v>704</v>
      </c>
      <c r="D56" s="4" t="s">
        <v>705</v>
      </c>
      <c r="E56" s="4" t="s">
        <v>631</v>
      </c>
      <c r="F56" s="4" t="s">
        <v>632</v>
      </c>
      <c r="G56" s="4" t="s">
        <v>89</v>
      </c>
    </row>
    <row r="57" spans="1:11" x14ac:dyDescent="0.2">
      <c r="A57" t="s">
        <v>595</v>
      </c>
      <c r="B57" t="s">
        <v>703</v>
      </c>
      <c r="C57" t="s">
        <v>706</v>
      </c>
      <c r="D57" s="4" t="s">
        <v>707</v>
      </c>
      <c r="E57" s="4" t="s">
        <v>638</v>
      </c>
      <c r="F57" s="4" t="s">
        <v>448</v>
      </c>
      <c r="G57" s="4" t="s">
        <v>89</v>
      </c>
    </row>
    <row r="58" spans="1:11" x14ac:dyDescent="0.2">
      <c r="A58" t="s">
        <v>596</v>
      </c>
      <c r="B58" t="s">
        <v>695</v>
      </c>
      <c r="C58" t="s">
        <v>708</v>
      </c>
      <c r="D58" s="4" t="s">
        <v>709</v>
      </c>
      <c r="E58" s="4" t="s">
        <v>631</v>
      </c>
      <c r="F58" s="4" t="s">
        <v>632</v>
      </c>
      <c r="G58" s="4" t="s">
        <v>89</v>
      </c>
    </row>
    <row r="59" spans="1:11" x14ac:dyDescent="0.2">
      <c r="A59" t="s">
        <v>597</v>
      </c>
      <c r="B59" t="s">
        <v>710</v>
      </c>
      <c r="C59" t="s">
        <v>711</v>
      </c>
      <c r="D59" s="4" t="s">
        <v>712</v>
      </c>
      <c r="E59" s="4" t="s">
        <v>638</v>
      </c>
      <c r="F59" s="4" t="s">
        <v>471</v>
      </c>
      <c r="G59" s="4" t="s">
        <v>89</v>
      </c>
    </row>
    <row r="60" spans="1:11" x14ac:dyDescent="0.2">
      <c r="D60" s="4"/>
      <c r="E60" s="4"/>
      <c r="F60" s="4"/>
      <c r="G60" s="4"/>
    </row>
    <row r="61" spans="1:11" ht="19" x14ac:dyDescent="0.25">
      <c r="A61" s="30" t="s">
        <v>598</v>
      </c>
    </row>
    <row r="62" spans="1:11" s="4" customFormat="1" x14ac:dyDescent="0.2">
      <c r="A62" s="31" t="s">
        <v>599</v>
      </c>
      <c r="B62" s="32" t="s">
        <v>600</v>
      </c>
      <c r="C62" s="22" t="s">
        <v>601</v>
      </c>
      <c r="D62" s="22" t="s">
        <v>602</v>
      </c>
      <c r="E62" s="22" t="s">
        <v>603</v>
      </c>
      <c r="F62" s="22" t="s">
        <v>604</v>
      </c>
      <c r="G62" s="22" t="s">
        <v>605</v>
      </c>
      <c r="H62" s="22" t="s">
        <v>5</v>
      </c>
      <c r="I62" s="92" t="s">
        <v>6</v>
      </c>
      <c r="J62" s="92"/>
      <c r="K62" s="92"/>
    </row>
    <row r="63" spans="1:11" x14ac:dyDescent="0.2">
      <c r="A63" t="s">
        <v>606</v>
      </c>
      <c r="B63" s="33">
        <f>IF($G63="N/D","N/D",$G63*25%)</f>
        <v>8.7937500000000016E-2</v>
      </c>
      <c r="C63" s="4">
        <f>IF($G63="N/D","N/D",$G63*50%)</f>
        <v>0.17587500000000003</v>
      </c>
      <c r="D63" s="4">
        <f>IF($G63="N/D","N/D",$G63*75%)</f>
        <v>0.26381250000000006</v>
      </c>
      <c r="E63" s="4">
        <f>IF($G63="N/D","N/D",$G63)</f>
        <v>0.35175000000000006</v>
      </c>
      <c r="F63" s="4">
        <f>IF($G63="N/D","N/D",$G63)</f>
        <v>0.35175000000000006</v>
      </c>
      <c r="G63" s="4">
        <f>IF(COUNT(H25:H28)=0,"N/D",SUM(H25:H28))</f>
        <v>0.35175000000000006</v>
      </c>
      <c r="H63" s="4" t="s">
        <v>93</v>
      </c>
      <c r="I63" s="86" t="s">
        <v>713</v>
      </c>
      <c r="J63" s="86"/>
      <c r="K63" s="86"/>
    </row>
    <row r="64" spans="1:11" x14ac:dyDescent="0.2">
      <c r="A64" t="s">
        <v>607</v>
      </c>
      <c r="B64" s="33">
        <f>IF(B63="N/D","N/D",B63*80%)</f>
        <v>7.035000000000001E-2</v>
      </c>
      <c r="C64" s="4">
        <f>IF(C63="N/D","N/D",C63*80%)</f>
        <v>0.14070000000000002</v>
      </c>
      <c r="D64" s="4">
        <f>IF(D63="N/D","N/D",D63*80%)</f>
        <v>0.21105000000000007</v>
      </c>
      <c r="E64" s="4">
        <f>IF(E63="N/D","N/D",E63*80%)</f>
        <v>0.28140000000000004</v>
      </c>
      <c r="F64" s="4">
        <f>IF(F63="N/D","N/D",F63*80%)</f>
        <v>0.28140000000000004</v>
      </c>
      <c r="G64" s="4">
        <f>IF(COUNT(B64:F64)=0,"N/D",SUM(B64:F64))</f>
        <v>0.98490000000000011</v>
      </c>
      <c r="H64" s="4" t="s">
        <v>93</v>
      </c>
      <c r="I64" s="86" t="s">
        <v>734</v>
      </c>
      <c r="J64" s="86"/>
      <c r="K64" s="86"/>
    </row>
    <row r="65" spans="1:11" x14ac:dyDescent="0.2">
      <c r="A65" t="s">
        <v>608</v>
      </c>
      <c r="B65" s="33">
        <f>IF($G65="N/D","N/D",$G65*25%)</f>
        <v>4.4999999999999998E-2</v>
      </c>
      <c r="C65" s="4">
        <f>IF($G65="N/D","N/D",$G65*50%)</f>
        <v>0.09</v>
      </c>
      <c r="D65" s="4">
        <f>IF($G65="N/D","N/D",$G65*75%)</f>
        <v>0.13500000000000001</v>
      </c>
      <c r="E65" s="4">
        <f>IF($G65="N/D","N/D",$G65)</f>
        <v>0.18</v>
      </c>
      <c r="F65" s="4">
        <f>IF($G65="N/D","N/D",$G65)</f>
        <v>0.18</v>
      </c>
      <c r="G65" s="4">
        <f>IF(COUNT(I44:I48)=0,"N/D",SUM(I44:I48))</f>
        <v>0.18</v>
      </c>
      <c r="H65" s="4" t="s">
        <v>93</v>
      </c>
      <c r="I65" s="86" t="s">
        <v>714</v>
      </c>
      <c r="J65" s="86"/>
      <c r="K65" s="86"/>
    </row>
    <row r="66" spans="1:11" x14ac:dyDescent="0.2">
      <c r="A66" t="s">
        <v>609</v>
      </c>
      <c r="B66" s="33">
        <v>0.2</v>
      </c>
      <c r="C66" s="4">
        <v>0.15</v>
      </c>
      <c r="D66" s="4">
        <v>0.1</v>
      </c>
      <c r="E66" s="4">
        <v>0.05</v>
      </c>
      <c r="F66" s="4">
        <v>0</v>
      </c>
      <c r="G66" s="4">
        <f>IF(COUNT(B66:F66)=0,"N/D",SUM(B66:F66))</f>
        <v>0.49999999999999994</v>
      </c>
      <c r="H66" s="4" t="s">
        <v>103</v>
      </c>
      <c r="I66" s="86" t="s">
        <v>715</v>
      </c>
      <c r="J66" s="86"/>
      <c r="K66" s="86"/>
    </row>
    <row r="67" spans="1:11" x14ac:dyDescent="0.2">
      <c r="A67" t="s">
        <v>610</v>
      </c>
      <c r="B67" s="33">
        <f>IF(OR(B64="",B65="",B66=""),"N/D",B64+B65-B66)</f>
        <v>-8.4650000000000003E-2</v>
      </c>
      <c r="C67" s="4">
        <f>IF(OR(C64="",C65="",C66=""),"N/D",C64+C65-C66)</f>
        <v>8.0700000000000022E-2</v>
      </c>
      <c r="D67" s="4">
        <f>IF(OR(D64="",D65="",D66=""),"N/D",D64+D65-D66)</f>
        <v>0.24605000000000007</v>
      </c>
      <c r="E67" s="4">
        <f>IF(OR(E64="",E65="",E66=""),"N/D",E64+E65-E66)</f>
        <v>0.41140000000000004</v>
      </c>
      <c r="F67" s="4">
        <f>IF(OR(F64="",F65="",F66=""),"N/D",F64+F65-F66)</f>
        <v>0.46140000000000003</v>
      </c>
      <c r="G67" s="4">
        <f>IF(COUNT(B67:F67)=0,"N/D",SUM(B67:F67))</f>
        <v>1.1149000000000002</v>
      </c>
      <c r="H67" s="4" t="s">
        <v>279</v>
      </c>
      <c r="I67" s="86" t="s">
        <v>716</v>
      </c>
      <c r="J67" s="86"/>
      <c r="K67" s="86"/>
    </row>
    <row r="68" spans="1:11" x14ac:dyDescent="0.2">
      <c r="A68" t="s">
        <v>611</v>
      </c>
      <c r="B68" s="33">
        <f>1/(1+12%)^1</f>
        <v>0.89285714285714279</v>
      </c>
      <c r="C68" s="4">
        <f>1/(1+12%)^2</f>
        <v>0.79719387755102034</v>
      </c>
      <c r="D68" s="4">
        <f>1/(1+12%)^3</f>
        <v>0.71178024781341087</v>
      </c>
      <c r="E68" s="4">
        <f>1/(1+12%)^4</f>
        <v>0.63551807840483121</v>
      </c>
      <c r="F68" s="4">
        <f>1/(1+12%)^5</f>
        <v>0.56742685571859919</v>
      </c>
      <c r="G68" s="4" t="s">
        <v>284</v>
      </c>
      <c r="H68" s="4" t="s">
        <v>314</v>
      </c>
      <c r="I68" s="86" t="s">
        <v>717</v>
      </c>
      <c r="J68" s="86"/>
      <c r="K68" s="86"/>
    </row>
    <row r="69" spans="1:11" x14ac:dyDescent="0.2">
      <c r="A69" s="26" t="s">
        <v>612</v>
      </c>
      <c r="B69" s="34">
        <f>IF(OR(B67="N/D",B68=""),"N/D",B67*B68)</f>
        <v>-7.5580357142857144E-2</v>
      </c>
      <c r="C69" s="27">
        <f>IF(OR(C67="N/D",C68=""),"N/D",C67*C68)</f>
        <v>6.433354591836736E-2</v>
      </c>
      <c r="D69" s="27">
        <f>IF(OR(D67="N/D",D68=""),"N/D",D67*D68)</f>
        <v>0.1751335299744898</v>
      </c>
      <c r="E69" s="27">
        <f>IF(OR(E67="N/D",E68=""),"N/D",E67*E68)</f>
        <v>0.26145213745574758</v>
      </c>
      <c r="F69" s="27">
        <f>IF(OR(F67="N/D",F68=""),"N/D",F67*F68)</f>
        <v>0.26181075122856168</v>
      </c>
      <c r="G69" s="27">
        <f>IF(COUNT(B69:F69)=0,"N/D",SUM(B69:F69))</f>
        <v>0.68714960743430931</v>
      </c>
      <c r="H69" s="27" t="s">
        <v>103</v>
      </c>
      <c r="I69" s="90" t="s">
        <v>735</v>
      </c>
      <c r="J69" s="90"/>
      <c r="K69" s="90"/>
    </row>
    <row r="71" spans="1:11" ht="19" x14ac:dyDescent="0.25">
      <c r="A71" s="30" t="s">
        <v>613</v>
      </c>
    </row>
    <row r="72" spans="1:11" x14ac:dyDescent="0.2">
      <c r="A72" s="21" t="s">
        <v>614</v>
      </c>
      <c r="B72" s="32" t="s">
        <v>615</v>
      </c>
      <c r="C72" s="22" t="s">
        <v>616</v>
      </c>
      <c r="D72" s="22" t="s">
        <v>617</v>
      </c>
      <c r="E72" s="22" t="s">
        <v>618</v>
      </c>
      <c r="F72" s="22" t="s">
        <v>619</v>
      </c>
      <c r="G72" s="22" t="s">
        <v>620</v>
      </c>
      <c r="H72" s="22" t="s">
        <v>219</v>
      </c>
      <c r="I72" s="92" t="s">
        <v>621</v>
      </c>
      <c r="J72" s="92"/>
      <c r="K72" s="92"/>
    </row>
    <row r="73" spans="1:11" x14ac:dyDescent="0.2">
      <c r="A73" t="s">
        <v>622</v>
      </c>
      <c r="B73" s="33">
        <v>5</v>
      </c>
      <c r="C73" s="4">
        <v>5</v>
      </c>
      <c r="D73" s="4">
        <v>2</v>
      </c>
      <c r="E73" s="4">
        <v>2</v>
      </c>
      <c r="F73" s="4">
        <v>4</v>
      </c>
      <c r="G73" s="4">
        <f t="shared" ref="G73:G79" si="0">IFERROR((B73+C73+(6-D73)+(6-E73)+F73)/5,"N/D")</f>
        <v>4.4000000000000004</v>
      </c>
      <c r="H73" s="4" t="s">
        <v>89</v>
      </c>
      <c r="I73" s="86" t="s">
        <v>718</v>
      </c>
      <c r="J73" s="86"/>
      <c r="K73" s="86"/>
    </row>
    <row r="74" spans="1:11" x14ac:dyDescent="0.2">
      <c r="A74" t="s">
        <v>623</v>
      </c>
      <c r="B74" s="33">
        <v>5</v>
      </c>
      <c r="C74" s="4">
        <v>5</v>
      </c>
      <c r="D74" s="4">
        <v>3</v>
      </c>
      <c r="E74" s="4">
        <v>3</v>
      </c>
      <c r="F74" s="4">
        <v>3</v>
      </c>
      <c r="G74" s="4">
        <f t="shared" si="0"/>
        <v>3.8</v>
      </c>
      <c r="H74" s="4" t="s">
        <v>89</v>
      </c>
      <c r="I74" s="86" t="s">
        <v>719</v>
      </c>
      <c r="J74" s="86"/>
      <c r="K74" s="86"/>
    </row>
    <row r="75" spans="1:11" x14ac:dyDescent="0.2">
      <c r="A75" t="s">
        <v>624</v>
      </c>
      <c r="B75" s="33">
        <v>4</v>
      </c>
      <c r="C75" s="4">
        <v>4</v>
      </c>
      <c r="D75" s="4">
        <v>3</v>
      </c>
      <c r="E75" s="4">
        <v>3</v>
      </c>
      <c r="F75" s="4">
        <v>3</v>
      </c>
      <c r="G75" s="4">
        <f t="shared" si="0"/>
        <v>3.4</v>
      </c>
      <c r="H75" s="4" t="s">
        <v>93</v>
      </c>
      <c r="I75" s="86" t="s">
        <v>720</v>
      </c>
      <c r="J75" s="86"/>
      <c r="K75" s="86"/>
    </row>
    <row r="76" spans="1:11" x14ac:dyDescent="0.2">
      <c r="A76" t="s">
        <v>625</v>
      </c>
      <c r="B76" s="33">
        <v>5</v>
      </c>
      <c r="C76" s="4">
        <v>4</v>
      </c>
      <c r="D76" s="4">
        <v>3</v>
      </c>
      <c r="E76" s="4">
        <v>2</v>
      </c>
      <c r="F76" s="4">
        <v>3</v>
      </c>
      <c r="G76" s="4">
        <f t="shared" si="0"/>
        <v>3.8</v>
      </c>
      <c r="H76" s="4" t="s">
        <v>89</v>
      </c>
      <c r="I76" s="86" t="s">
        <v>721</v>
      </c>
      <c r="J76" s="86"/>
      <c r="K76" s="86"/>
    </row>
    <row r="77" spans="1:11" x14ac:dyDescent="0.2">
      <c r="A77" t="s">
        <v>540</v>
      </c>
      <c r="B77" s="33">
        <v>4</v>
      </c>
      <c r="C77" s="4">
        <v>4</v>
      </c>
      <c r="D77" s="4">
        <v>2</v>
      </c>
      <c r="E77" s="4">
        <v>2</v>
      </c>
      <c r="F77" s="4">
        <v>3</v>
      </c>
      <c r="G77" s="4">
        <f t="shared" si="0"/>
        <v>3.8</v>
      </c>
      <c r="H77" s="4" t="s">
        <v>89</v>
      </c>
      <c r="I77" s="86" t="s">
        <v>722</v>
      </c>
      <c r="J77" s="86"/>
      <c r="K77" s="86"/>
    </row>
    <row r="78" spans="1:11" x14ac:dyDescent="0.2">
      <c r="A78" t="s">
        <v>626</v>
      </c>
      <c r="B78" s="33">
        <v>5</v>
      </c>
      <c r="C78" s="4">
        <v>5</v>
      </c>
      <c r="D78" s="4">
        <v>4</v>
      </c>
      <c r="E78" s="4">
        <v>2</v>
      </c>
      <c r="F78" s="4">
        <v>3</v>
      </c>
      <c r="G78" s="4">
        <f t="shared" si="0"/>
        <v>3.8</v>
      </c>
      <c r="H78" s="4" t="s">
        <v>89</v>
      </c>
      <c r="I78" s="86" t="s">
        <v>723</v>
      </c>
      <c r="J78" s="86"/>
      <c r="K78" s="86"/>
    </row>
    <row r="79" spans="1:11" x14ac:dyDescent="0.2">
      <c r="A79" s="26" t="s">
        <v>627</v>
      </c>
      <c r="B79" s="34">
        <v>5</v>
      </c>
      <c r="C79" s="27">
        <v>5</v>
      </c>
      <c r="D79" s="27">
        <v>4</v>
      </c>
      <c r="E79" s="27">
        <v>2</v>
      </c>
      <c r="F79" s="27">
        <v>2</v>
      </c>
      <c r="G79" s="27">
        <f t="shared" si="0"/>
        <v>3.6</v>
      </c>
      <c r="H79" s="27" t="s">
        <v>89</v>
      </c>
      <c r="I79" s="90" t="s">
        <v>724</v>
      </c>
      <c r="J79" s="90"/>
      <c r="K79" s="90"/>
    </row>
  </sheetData>
  <mergeCells count="26">
    <mergeCell ref="I68:K68"/>
    <mergeCell ref="I69:K69"/>
    <mergeCell ref="I72:K72"/>
    <mergeCell ref="I79:K79"/>
    <mergeCell ref="I78:K78"/>
    <mergeCell ref="I77:K77"/>
    <mergeCell ref="I76:K76"/>
    <mergeCell ref="I75:K75"/>
    <mergeCell ref="I74:K74"/>
    <mergeCell ref="I73:K73"/>
    <mergeCell ref="J24:K24"/>
    <mergeCell ref="J25:K25"/>
    <mergeCell ref="J26:K26"/>
    <mergeCell ref="J27:K27"/>
    <mergeCell ref="J28:K28"/>
    <mergeCell ref="A30:B30"/>
    <mergeCell ref="A40:B40"/>
    <mergeCell ref="B43:C43"/>
    <mergeCell ref="E43:F43"/>
    <mergeCell ref="I67:K67"/>
    <mergeCell ref="I49:K49"/>
    <mergeCell ref="I62:K62"/>
    <mergeCell ref="I63:K63"/>
    <mergeCell ref="I64:K64"/>
    <mergeCell ref="I65:K65"/>
    <mergeCell ref="I66:K66"/>
  </mergeCells>
  <phoneticPr fontId="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72E7C-DE15-4549-9383-1FA381DCE259}">
  <dimension ref="A1:I50"/>
  <sheetViews>
    <sheetView showGridLines="0" zoomScale="60" zoomScaleNormal="60" workbookViewId="0">
      <pane ySplit="3" topLeftCell="A4" activePane="bottomLeft" state="frozen"/>
      <selection pane="bottomLeft" activeCell="B11" sqref="B11"/>
    </sheetView>
  </sheetViews>
  <sheetFormatPr baseColWidth="10" defaultRowHeight="16" x14ac:dyDescent="0.2"/>
  <cols>
    <col min="1" max="1" width="46.33203125" customWidth="1"/>
    <col min="2" max="2" width="163.1640625" style="4" customWidth="1"/>
    <col min="3" max="3" width="27.6640625" style="4" customWidth="1"/>
    <col min="4" max="4" width="10.83203125" style="4"/>
    <col min="5" max="5" width="38.1640625" style="4" customWidth="1"/>
    <col min="6" max="6" width="10.83203125" style="4"/>
    <col min="7" max="7" width="21.33203125" style="4" customWidth="1"/>
    <col min="8" max="8" width="10.83203125" style="4"/>
  </cols>
  <sheetData>
    <row r="1" spans="1:9" s="1" customFormat="1" ht="22" x14ac:dyDescent="0.3">
      <c r="A1" s="78" t="s">
        <v>736</v>
      </c>
      <c r="B1" s="78"/>
      <c r="C1" s="78"/>
      <c r="D1" s="78"/>
      <c r="E1" s="78"/>
      <c r="F1" s="78"/>
      <c r="G1" s="78"/>
      <c r="H1" s="2"/>
    </row>
    <row r="3" spans="1:9" s="1" customFormat="1" x14ac:dyDescent="0.2">
      <c r="A3" s="2" t="s">
        <v>346</v>
      </c>
      <c r="B3" s="2" t="s">
        <v>383</v>
      </c>
      <c r="C3" s="2" t="s">
        <v>384</v>
      </c>
      <c r="D3" s="2" t="s">
        <v>353</v>
      </c>
      <c r="E3" s="2" t="s">
        <v>218</v>
      </c>
      <c r="F3" s="2" t="s">
        <v>5</v>
      </c>
      <c r="G3" s="2" t="s">
        <v>737</v>
      </c>
      <c r="H3" s="2" t="s">
        <v>738</v>
      </c>
      <c r="I3" s="2" t="s">
        <v>6</v>
      </c>
    </row>
    <row r="4" spans="1:9" ht="22" x14ac:dyDescent="0.3">
      <c r="A4" s="3" t="s">
        <v>739</v>
      </c>
    </row>
    <row r="5" spans="1:9" x14ac:dyDescent="0.2">
      <c r="A5" t="s">
        <v>740</v>
      </c>
      <c r="B5" s="4" t="s">
        <v>780</v>
      </c>
      <c r="C5" s="4" t="s">
        <v>781</v>
      </c>
      <c r="D5" s="4" t="s">
        <v>94</v>
      </c>
      <c r="E5" s="4" t="s">
        <v>782</v>
      </c>
      <c r="F5" s="4" t="s">
        <v>89</v>
      </c>
      <c r="G5" s="4" t="s">
        <v>783</v>
      </c>
      <c r="I5" t="s">
        <v>784</v>
      </c>
    </row>
    <row r="6" spans="1:9" x14ac:dyDescent="0.2">
      <c r="A6" t="s">
        <v>741</v>
      </c>
      <c r="B6" s="4" t="s">
        <v>785</v>
      </c>
      <c r="C6" s="4" t="s">
        <v>786</v>
      </c>
      <c r="D6" s="4" t="s">
        <v>94</v>
      </c>
      <c r="E6" s="4" t="s">
        <v>787</v>
      </c>
      <c r="F6" s="4" t="s">
        <v>93</v>
      </c>
      <c r="G6" s="4" t="s">
        <v>67</v>
      </c>
      <c r="I6" t="s">
        <v>788</v>
      </c>
    </row>
    <row r="7" spans="1:9" x14ac:dyDescent="0.2">
      <c r="A7" t="s">
        <v>742</v>
      </c>
      <c r="B7" s="4" t="s">
        <v>789</v>
      </c>
      <c r="C7" s="4" t="s">
        <v>786</v>
      </c>
      <c r="D7" s="4" t="s">
        <v>94</v>
      </c>
      <c r="E7" s="4" t="s">
        <v>787</v>
      </c>
      <c r="F7" s="4" t="s">
        <v>93</v>
      </c>
      <c r="G7" s="4" t="s">
        <v>67</v>
      </c>
      <c r="I7" t="s">
        <v>790</v>
      </c>
    </row>
    <row r="8" spans="1:9" x14ac:dyDescent="0.2">
      <c r="A8" t="s">
        <v>743</v>
      </c>
      <c r="B8" s="4" t="s">
        <v>791</v>
      </c>
      <c r="C8" s="4" t="s">
        <v>792</v>
      </c>
      <c r="D8" s="4" t="s">
        <v>94</v>
      </c>
      <c r="E8" s="4" t="s">
        <v>793</v>
      </c>
      <c r="F8" s="4" t="s">
        <v>89</v>
      </c>
      <c r="G8" s="4" t="s">
        <v>67</v>
      </c>
      <c r="H8" s="4">
        <v>0.6</v>
      </c>
      <c r="I8" t="s">
        <v>794</v>
      </c>
    </row>
    <row r="9" spans="1:9" x14ac:dyDescent="0.2">
      <c r="A9" t="s">
        <v>744</v>
      </c>
      <c r="B9" s="4" t="s">
        <v>795</v>
      </c>
      <c r="C9" s="4" t="s">
        <v>796</v>
      </c>
      <c r="D9" s="4" t="s">
        <v>94</v>
      </c>
      <c r="E9" s="4" t="s">
        <v>797</v>
      </c>
      <c r="F9" s="4" t="s">
        <v>89</v>
      </c>
      <c r="G9" s="4" t="s">
        <v>67</v>
      </c>
      <c r="I9" t="s">
        <v>798</v>
      </c>
    </row>
    <row r="10" spans="1:9" x14ac:dyDescent="0.2">
      <c r="A10" t="s">
        <v>745</v>
      </c>
      <c r="B10" s="4" t="s">
        <v>799</v>
      </c>
      <c r="C10" s="4" t="s">
        <v>800</v>
      </c>
      <c r="D10" s="4" t="s">
        <v>94</v>
      </c>
      <c r="E10" s="4" t="s">
        <v>91</v>
      </c>
      <c r="F10" s="4" t="s">
        <v>89</v>
      </c>
      <c r="G10" s="4" t="s">
        <v>67</v>
      </c>
      <c r="I10" t="s">
        <v>801</v>
      </c>
    </row>
    <row r="11" spans="1:9" x14ac:dyDescent="0.2">
      <c r="A11" t="s">
        <v>746</v>
      </c>
      <c r="B11" s="4" t="s">
        <v>802</v>
      </c>
      <c r="C11" s="4" t="s">
        <v>803</v>
      </c>
      <c r="D11" s="4" t="s">
        <v>94</v>
      </c>
      <c r="E11" s="4" t="s">
        <v>804</v>
      </c>
      <c r="F11" s="4" t="s">
        <v>93</v>
      </c>
      <c r="G11" s="4" t="s">
        <v>67</v>
      </c>
      <c r="I11" t="s">
        <v>805</v>
      </c>
    </row>
    <row r="13" spans="1:9" ht="22" x14ac:dyDescent="0.3">
      <c r="A13" s="3" t="s">
        <v>747</v>
      </c>
    </row>
    <row r="14" spans="1:9" x14ac:dyDescent="0.2">
      <c r="A14" t="s">
        <v>748</v>
      </c>
      <c r="B14" s="4" t="s">
        <v>806</v>
      </c>
      <c r="C14" s="4" t="s">
        <v>275</v>
      </c>
      <c r="D14" s="4" t="s">
        <v>452</v>
      </c>
      <c r="E14" s="4" t="s">
        <v>146</v>
      </c>
      <c r="F14" s="4" t="s">
        <v>89</v>
      </c>
      <c r="G14" s="4" t="s">
        <v>807</v>
      </c>
      <c r="H14" s="4">
        <v>0.85</v>
      </c>
      <c r="I14" t="s">
        <v>808</v>
      </c>
    </row>
    <row r="15" spans="1:9" x14ac:dyDescent="0.2">
      <c r="A15" t="s">
        <v>749</v>
      </c>
      <c r="B15" s="4" t="s">
        <v>809</v>
      </c>
      <c r="C15" s="4" t="s">
        <v>466</v>
      </c>
      <c r="D15" s="4" t="s">
        <v>452</v>
      </c>
      <c r="E15" s="4" t="s">
        <v>146</v>
      </c>
      <c r="F15" s="4" t="s">
        <v>89</v>
      </c>
      <c r="G15" s="4" t="s">
        <v>810</v>
      </c>
      <c r="H15" s="4">
        <v>0.6</v>
      </c>
      <c r="I15" t="s">
        <v>811</v>
      </c>
    </row>
    <row r="16" spans="1:9" x14ac:dyDescent="0.2">
      <c r="A16" t="s">
        <v>750</v>
      </c>
      <c r="B16" s="4" t="s">
        <v>812</v>
      </c>
      <c r="C16" s="4" t="s">
        <v>169</v>
      </c>
      <c r="D16" s="4" t="s">
        <v>68</v>
      </c>
      <c r="E16" s="4" t="s">
        <v>813</v>
      </c>
      <c r="F16" s="4" t="s">
        <v>103</v>
      </c>
      <c r="G16" s="4" t="s">
        <v>814</v>
      </c>
      <c r="I16" t="s">
        <v>815</v>
      </c>
    </row>
    <row r="17" spans="1:9" x14ac:dyDescent="0.2">
      <c r="A17" t="s">
        <v>751</v>
      </c>
      <c r="B17" s="4" t="s">
        <v>816</v>
      </c>
      <c r="C17" s="4" t="s">
        <v>169</v>
      </c>
      <c r="D17" s="4" t="s">
        <v>68</v>
      </c>
      <c r="E17" s="4" t="s">
        <v>817</v>
      </c>
      <c r="F17" s="4" t="s">
        <v>103</v>
      </c>
      <c r="G17" s="4" t="s">
        <v>814</v>
      </c>
      <c r="I17" t="s">
        <v>818</v>
      </c>
    </row>
    <row r="18" spans="1:9" x14ac:dyDescent="0.2">
      <c r="A18" t="s">
        <v>752</v>
      </c>
      <c r="B18" s="4" t="s">
        <v>819</v>
      </c>
      <c r="C18" s="4" t="s">
        <v>466</v>
      </c>
      <c r="D18" s="4" t="s">
        <v>452</v>
      </c>
      <c r="E18" s="4" t="s">
        <v>146</v>
      </c>
      <c r="F18" s="4" t="s">
        <v>93</v>
      </c>
      <c r="G18" s="4" t="s">
        <v>820</v>
      </c>
      <c r="H18" s="4">
        <v>0.5</v>
      </c>
      <c r="I18" t="s">
        <v>821</v>
      </c>
    </row>
    <row r="19" spans="1:9" x14ac:dyDescent="0.2">
      <c r="A19" t="s">
        <v>753</v>
      </c>
      <c r="B19" s="4" t="s">
        <v>822</v>
      </c>
      <c r="C19" s="4">
        <v>2.5</v>
      </c>
      <c r="D19" s="4" t="s">
        <v>823</v>
      </c>
      <c r="E19" s="4" t="s">
        <v>146</v>
      </c>
      <c r="F19" s="4" t="s">
        <v>89</v>
      </c>
      <c r="G19" s="4" t="s">
        <v>824</v>
      </c>
      <c r="H19" s="4">
        <v>0.8</v>
      </c>
      <c r="I19" t="s">
        <v>825</v>
      </c>
    </row>
    <row r="21" spans="1:9" ht="22" x14ac:dyDescent="0.3">
      <c r="A21" s="3" t="s">
        <v>754</v>
      </c>
    </row>
    <row r="22" spans="1:9" x14ac:dyDescent="0.2">
      <c r="A22" t="s">
        <v>755</v>
      </c>
      <c r="B22" s="4" t="s">
        <v>826</v>
      </c>
      <c r="C22" s="4" t="s">
        <v>277</v>
      </c>
      <c r="D22" s="4" t="s">
        <v>452</v>
      </c>
      <c r="E22" s="4" t="s">
        <v>146</v>
      </c>
      <c r="F22" s="4" t="s">
        <v>89</v>
      </c>
      <c r="G22" s="4" t="s">
        <v>827</v>
      </c>
      <c r="H22" s="4">
        <v>0.75</v>
      </c>
      <c r="I22" t="s">
        <v>828</v>
      </c>
    </row>
    <row r="23" spans="1:9" x14ac:dyDescent="0.2">
      <c r="A23" t="s">
        <v>756</v>
      </c>
      <c r="B23" s="4" t="s">
        <v>829</v>
      </c>
      <c r="C23" s="4" t="s">
        <v>277</v>
      </c>
      <c r="D23" s="4" t="s">
        <v>830</v>
      </c>
      <c r="E23" s="4" t="s">
        <v>831</v>
      </c>
      <c r="F23" s="4" t="s">
        <v>102</v>
      </c>
      <c r="G23" s="4" t="s">
        <v>832</v>
      </c>
      <c r="H23" s="4">
        <v>0.9</v>
      </c>
      <c r="I23" t="s">
        <v>833</v>
      </c>
    </row>
    <row r="24" spans="1:9" x14ac:dyDescent="0.2">
      <c r="A24" t="s">
        <v>757</v>
      </c>
      <c r="B24" s="4" t="s">
        <v>834</v>
      </c>
      <c r="C24" s="4" t="s">
        <v>835</v>
      </c>
      <c r="D24" s="4" t="s">
        <v>452</v>
      </c>
      <c r="E24" s="4" t="s">
        <v>146</v>
      </c>
      <c r="F24" s="4" t="s">
        <v>89</v>
      </c>
      <c r="G24" s="4" t="s">
        <v>832</v>
      </c>
      <c r="H24" s="4">
        <v>0.7</v>
      </c>
      <c r="I24" t="s">
        <v>836</v>
      </c>
    </row>
    <row r="25" spans="1:9" x14ac:dyDescent="0.2">
      <c r="A25" t="s">
        <v>758</v>
      </c>
      <c r="B25" s="4" t="s">
        <v>837</v>
      </c>
      <c r="C25" s="4" t="s">
        <v>67</v>
      </c>
      <c r="D25" s="4" t="s">
        <v>94</v>
      </c>
      <c r="E25" s="4" t="s">
        <v>838</v>
      </c>
      <c r="F25" s="4" t="s">
        <v>279</v>
      </c>
      <c r="G25" s="4" t="s">
        <v>814</v>
      </c>
      <c r="I25" t="s">
        <v>839</v>
      </c>
    </row>
    <row r="26" spans="1:9" x14ac:dyDescent="0.2">
      <c r="A26" t="s">
        <v>759</v>
      </c>
      <c r="B26" s="4" t="s">
        <v>840</v>
      </c>
      <c r="C26" s="4">
        <v>0.6</v>
      </c>
      <c r="D26" s="4" t="s">
        <v>68</v>
      </c>
      <c r="E26" s="4" t="s">
        <v>146</v>
      </c>
      <c r="F26" s="4" t="s">
        <v>93</v>
      </c>
      <c r="G26" s="4" t="s">
        <v>841</v>
      </c>
      <c r="H26" s="4">
        <v>0.6</v>
      </c>
      <c r="I26" t="s">
        <v>842</v>
      </c>
    </row>
    <row r="27" spans="1:9" x14ac:dyDescent="0.2">
      <c r="A27" t="s">
        <v>760</v>
      </c>
      <c r="B27" s="4" t="s">
        <v>843</v>
      </c>
      <c r="C27" s="4">
        <v>3</v>
      </c>
      <c r="D27" s="4" t="s">
        <v>823</v>
      </c>
      <c r="E27" s="4" t="s">
        <v>146</v>
      </c>
      <c r="F27" s="4" t="s">
        <v>89</v>
      </c>
      <c r="G27" s="4" t="s">
        <v>841</v>
      </c>
      <c r="H27" s="4">
        <v>0.7</v>
      </c>
      <c r="I27" t="s">
        <v>844</v>
      </c>
    </row>
    <row r="29" spans="1:9" ht="22" x14ac:dyDescent="0.3">
      <c r="A29" s="3" t="s">
        <v>761</v>
      </c>
    </row>
    <row r="30" spans="1:9" x14ac:dyDescent="0.2">
      <c r="A30" t="s">
        <v>762</v>
      </c>
      <c r="B30" s="4" t="s">
        <v>845</v>
      </c>
      <c r="C30" s="4">
        <v>0.9</v>
      </c>
      <c r="D30" s="4" t="s">
        <v>68</v>
      </c>
      <c r="E30" s="4" t="s">
        <v>146</v>
      </c>
      <c r="F30" s="4" t="s">
        <v>89</v>
      </c>
      <c r="G30" s="4" t="s">
        <v>846</v>
      </c>
      <c r="H30" s="4">
        <v>0.9</v>
      </c>
      <c r="I30" t="s">
        <v>847</v>
      </c>
    </row>
    <row r="31" spans="1:9" x14ac:dyDescent="0.2">
      <c r="A31" t="s">
        <v>763</v>
      </c>
      <c r="B31" s="4" t="s">
        <v>848</v>
      </c>
      <c r="C31" s="4">
        <v>0.35</v>
      </c>
      <c r="D31" s="4" t="s">
        <v>68</v>
      </c>
      <c r="E31" s="4" t="s">
        <v>146</v>
      </c>
      <c r="F31" s="4" t="s">
        <v>93</v>
      </c>
      <c r="G31" s="4" t="s">
        <v>841</v>
      </c>
      <c r="H31" s="4">
        <v>0.35</v>
      </c>
      <c r="I31" t="s">
        <v>849</v>
      </c>
    </row>
    <row r="32" spans="1:9" x14ac:dyDescent="0.2">
      <c r="A32" t="s">
        <v>764</v>
      </c>
      <c r="B32" s="4" t="s">
        <v>850</v>
      </c>
      <c r="C32" s="4">
        <v>0.1</v>
      </c>
      <c r="D32" s="4" t="s">
        <v>68</v>
      </c>
      <c r="E32" s="4" t="s">
        <v>146</v>
      </c>
      <c r="F32" s="4" t="s">
        <v>93</v>
      </c>
      <c r="G32" s="4" t="s">
        <v>275</v>
      </c>
      <c r="H32" s="4">
        <v>0.1</v>
      </c>
      <c r="I32" t="s">
        <v>851</v>
      </c>
    </row>
    <row r="33" spans="1:9" x14ac:dyDescent="0.2">
      <c r="A33" t="s">
        <v>765</v>
      </c>
      <c r="B33" s="4" t="s">
        <v>852</v>
      </c>
      <c r="C33" s="4">
        <v>0.02</v>
      </c>
      <c r="D33" s="4" t="s">
        <v>68</v>
      </c>
      <c r="E33" s="4" t="s">
        <v>146</v>
      </c>
      <c r="F33" s="4" t="s">
        <v>89</v>
      </c>
      <c r="G33" s="4" t="s">
        <v>275</v>
      </c>
      <c r="H33" s="4">
        <v>0.02</v>
      </c>
      <c r="I33" t="s">
        <v>853</v>
      </c>
    </row>
    <row r="34" spans="1:9" x14ac:dyDescent="0.2">
      <c r="A34" t="s">
        <v>766</v>
      </c>
      <c r="B34" s="4" t="s">
        <v>854</v>
      </c>
      <c r="C34" s="4">
        <v>0.4</v>
      </c>
      <c r="D34" s="4" t="s">
        <v>68</v>
      </c>
      <c r="E34" s="4" t="s">
        <v>146</v>
      </c>
      <c r="F34" s="4" t="s">
        <v>89</v>
      </c>
      <c r="G34" s="4" t="s">
        <v>855</v>
      </c>
      <c r="H34" s="4">
        <v>0.4</v>
      </c>
      <c r="I34" t="s">
        <v>856</v>
      </c>
    </row>
    <row r="35" spans="1:9" x14ac:dyDescent="0.2">
      <c r="A35" t="s">
        <v>767</v>
      </c>
      <c r="B35" s="4" t="s">
        <v>857</v>
      </c>
      <c r="C35" s="4">
        <f>MAX(0,C30*(1-C32)*(1-C33))</f>
        <v>0.79380000000000006</v>
      </c>
      <c r="D35" s="4" t="s">
        <v>68</v>
      </c>
      <c r="E35" s="4" t="s">
        <v>100</v>
      </c>
      <c r="F35" s="4" t="s">
        <v>89</v>
      </c>
      <c r="G35" s="4" t="s">
        <v>858</v>
      </c>
      <c r="H35" s="4">
        <f>C35</f>
        <v>0.79380000000000006</v>
      </c>
      <c r="I35" t="s">
        <v>859</v>
      </c>
    </row>
    <row r="37" spans="1:9" ht="22" x14ac:dyDescent="0.3">
      <c r="A37" s="3" t="s">
        <v>768</v>
      </c>
    </row>
    <row r="38" spans="1:9" x14ac:dyDescent="0.2">
      <c r="A38" t="s">
        <v>769</v>
      </c>
      <c r="B38" s="4" t="s">
        <v>860</v>
      </c>
      <c r="C38" s="4">
        <f>'Deal Fact Sheet '!C20</f>
        <v>1.5</v>
      </c>
      <c r="D38" s="4" t="s">
        <v>66</v>
      </c>
      <c r="E38" s="4" t="s">
        <v>472</v>
      </c>
      <c r="F38" s="4" t="s">
        <v>89</v>
      </c>
      <c r="G38" s="4" t="s">
        <v>861</v>
      </c>
      <c r="I38" t="s">
        <v>862</v>
      </c>
    </row>
    <row r="39" spans="1:9" x14ac:dyDescent="0.2">
      <c r="A39" t="s">
        <v>412</v>
      </c>
      <c r="B39" s="4" t="s">
        <v>863</v>
      </c>
      <c r="C39" s="4">
        <f>'Deal Fact Sheet '!C21</f>
        <v>8.5</v>
      </c>
      <c r="D39" s="4" t="s">
        <v>66</v>
      </c>
      <c r="E39" s="4" t="s">
        <v>472</v>
      </c>
      <c r="F39" s="4" t="s">
        <v>93</v>
      </c>
      <c r="G39" s="4" t="s">
        <v>861</v>
      </c>
      <c r="I39" t="s">
        <v>864</v>
      </c>
    </row>
    <row r="40" spans="1:9" x14ac:dyDescent="0.2">
      <c r="A40" t="s">
        <v>770</v>
      </c>
      <c r="B40" s="4" t="s">
        <v>865</v>
      </c>
      <c r="C40" s="4">
        <f>SUM(C38:C39)</f>
        <v>10</v>
      </c>
      <c r="D40" s="4" t="s">
        <v>66</v>
      </c>
      <c r="E40" s="4" t="s">
        <v>100</v>
      </c>
      <c r="F40" s="4" t="s">
        <v>89</v>
      </c>
      <c r="G40" s="4" t="s">
        <v>866</v>
      </c>
      <c r="I40" t="s">
        <v>867</v>
      </c>
    </row>
    <row r="41" spans="1:9" x14ac:dyDescent="0.2">
      <c r="A41" t="s">
        <v>771</v>
      </c>
      <c r="B41" s="4" t="s">
        <v>868</v>
      </c>
      <c r="C41" s="4">
        <f>IFERROR(C40/'Deal Fact Sheet '!C13,"N/D")</f>
        <v>0.16666666666666666</v>
      </c>
      <c r="D41" s="4" t="s">
        <v>68</v>
      </c>
      <c r="E41" s="4" t="s">
        <v>100</v>
      </c>
      <c r="F41" s="4" t="s">
        <v>89</v>
      </c>
      <c r="G41" s="4" t="s">
        <v>866</v>
      </c>
      <c r="I41" t="s">
        <v>869</v>
      </c>
    </row>
    <row r="42" spans="1:9" x14ac:dyDescent="0.2">
      <c r="A42" t="s">
        <v>772</v>
      </c>
      <c r="B42" s="4" t="s">
        <v>870</v>
      </c>
      <c r="C42" s="6">
        <f>'Cursor Valuation '!D43</f>
        <v>50</v>
      </c>
      <c r="D42" s="4" t="s">
        <v>66</v>
      </c>
      <c r="E42" s="4" t="s">
        <v>871</v>
      </c>
      <c r="F42" s="4" t="s">
        <v>89</v>
      </c>
      <c r="G42" s="4" t="s">
        <v>872</v>
      </c>
      <c r="I42" t="s">
        <v>873</v>
      </c>
    </row>
    <row r="43" spans="1:9" x14ac:dyDescent="0.2">
      <c r="A43" t="s">
        <v>773</v>
      </c>
      <c r="B43" s="4" t="s">
        <v>874</v>
      </c>
      <c r="C43" s="6">
        <f>MAX(0,'Deal Fact Sheet '!C13-C42)</f>
        <v>10</v>
      </c>
      <c r="D43" s="4" t="s">
        <v>66</v>
      </c>
      <c r="E43" s="4" t="s">
        <v>100</v>
      </c>
      <c r="F43" s="4" t="s">
        <v>89</v>
      </c>
      <c r="G43" s="4" t="s">
        <v>866</v>
      </c>
      <c r="I43" t="s">
        <v>875</v>
      </c>
    </row>
    <row r="45" spans="1:9" ht="22" x14ac:dyDescent="0.3">
      <c r="A45" s="3" t="s">
        <v>774</v>
      </c>
    </row>
    <row r="46" spans="1:9" x14ac:dyDescent="0.2">
      <c r="A46" t="s">
        <v>775</v>
      </c>
      <c r="B46" s="4" t="s">
        <v>876</v>
      </c>
      <c r="C46" s="4" t="s">
        <v>824</v>
      </c>
      <c r="D46" s="4" t="s">
        <v>452</v>
      </c>
      <c r="E46" s="4" t="s">
        <v>146</v>
      </c>
      <c r="F46" s="4" t="s">
        <v>89</v>
      </c>
      <c r="G46" s="4" t="s">
        <v>807</v>
      </c>
      <c r="H46" s="4">
        <f>C32</f>
        <v>0.1</v>
      </c>
      <c r="I46" t="s">
        <v>877</v>
      </c>
    </row>
    <row r="47" spans="1:9" x14ac:dyDescent="0.2">
      <c r="A47" t="s">
        <v>776</v>
      </c>
      <c r="B47" s="4" t="s">
        <v>878</v>
      </c>
      <c r="C47" s="4" t="s">
        <v>841</v>
      </c>
      <c r="D47" s="4" t="s">
        <v>452</v>
      </c>
      <c r="E47" s="4" t="s">
        <v>146</v>
      </c>
      <c r="F47" s="4" t="s">
        <v>89</v>
      </c>
      <c r="G47" s="4" t="s">
        <v>810</v>
      </c>
      <c r="H47" s="4">
        <f>C26</f>
        <v>0.6</v>
      </c>
      <c r="I47" t="s">
        <v>879</v>
      </c>
    </row>
    <row r="48" spans="1:9" x14ac:dyDescent="0.2">
      <c r="A48" t="s">
        <v>777</v>
      </c>
      <c r="B48" s="4" t="s">
        <v>880</v>
      </c>
      <c r="C48" s="4" t="s">
        <v>881</v>
      </c>
      <c r="D48" s="4" t="s">
        <v>94</v>
      </c>
      <c r="E48" s="4" t="s">
        <v>882</v>
      </c>
      <c r="F48" s="4" t="s">
        <v>89</v>
      </c>
      <c r="G48" s="4" t="s">
        <v>820</v>
      </c>
      <c r="H48" s="4">
        <f>C31</f>
        <v>0.35</v>
      </c>
      <c r="I48" t="s">
        <v>883</v>
      </c>
    </row>
    <row r="49" spans="1:9" x14ac:dyDescent="0.2">
      <c r="A49" t="s">
        <v>778</v>
      </c>
      <c r="B49" s="4" t="s">
        <v>884</v>
      </c>
      <c r="C49" s="4" t="s">
        <v>885</v>
      </c>
      <c r="D49" s="4" t="s">
        <v>94</v>
      </c>
      <c r="E49" s="4" t="s">
        <v>146</v>
      </c>
      <c r="F49" s="4" t="s">
        <v>89</v>
      </c>
      <c r="G49" s="4" t="s">
        <v>846</v>
      </c>
      <c r="H49" s="4">
        <f>C35</f>
        <v>0.79380000000000006</v>
      </c>
      <c r="I49" t="s">
        <v>886</v>
      </c>
    </row>
    <row r="50" spans="1:9" x14ac:dyDescent="0.2">
      <c r="A50" t="s">
        <v>779</v>
      </c>
      <c r="B50" s="4" t="s">
        <v>887</v>
      </c>
      <c r="C50" s="4" t="s">
        <v>888</v>
      </c>
      <c r="D50" s="4" t="s">
        <v>94</v>
      </c>
      <c r="E50" s="4" t="s">
        <v>146</v>
      </c>
      <c r="F50" s="4" t="s">
        <v>89</v>
      </c>
      <c r="G50" s="4" t="s">
        <v>889</v>
      </c>
      <c r="H50" s="4">
        <f>C35</f>
        <v>0.79380000000000006</v>
      </c>
      <c r="I50" t="s">
        <v>890</v>
      </c>
    </row>
  </sheetData>
  <mergeCells count="1">
    <mergeCell ref="A1:G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6824B-3D51-E341-8BF8-392204E2116E}">
  <dimension ref="A1"/>
  <sheetViews>
    <sheetView workbookViewId="0"/>
  </sheetViews>
  <sheetFormatPr baseColWidth="10" defaultRowHeight="16" x14ac:dyDescent="0.2"/>
  <sheetData>
    <row r="1" spans="1:1" x14ac:dyDescent="0.2">
      <c r="A1" t="s">
        <v>530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0AFB7-CA0F-2F49-99ED-C20564380014}">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Cover</vt:lpstr>
      <vt:lpstr>Deal Fact Sheet </vt:lpstr>
      <vt:lpstr>Cursor Valuation </vt:lpstr>
      <vt:lpstr>Comps </vt:lpstr>
      <vt:lpstr>Structure Teardown</vt:lpstr>
      <vt:lpstr>Dilution Market</vt:lpstr>
      <vt:lpstr>Startegies Synergies</vt:lpstr>
      <vt:lpstr>Regulatory Risk</vt:lpstr>
      <vt:lpstr>Cover!Print_Area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dc:creator>
  <cp:lastModifiedBy>Tejasvi </cp:lastModifiedBy>
  <dcterms:created xsi:type="dcterms:W3CDTF">2026-07-09T18:42:35Z</dcterms:created>
  <dcterms:modified xsi:type="dcterms:W3CDTF">2026-07-25T19:05:11Z</dcterms:modified>
</cp:coreProperties>
</file>