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https://d.docs.live.net/42fd708c4643e6a7/Personal Projects/Investment banking/SpaceX IPO/"/>
    </mc:Choice>
  </mc:AlternateContent>
  <xr:revisionPtr revIDLastSave="3801" documentId="8_{87CD144A-0571-2C43-8E8C-690631447D2C}" xr6:coauthVersionLast="47" xr6:coauthVersionMax="47" xr10:uidLastSave="{F08460AA-C389-0A48-9AD8-05269E8E9921}"/>
  <bookViews>
    <workbookView xWindow="0" yWindow="600" windowWidth="25600" windowHeight="14320" activeTab="5" xr2:uid="{86143B47-EB49-A746-B75F-DE16B4293126}"/>
  </bookViews>
  <sheets>
    <sheet name="Deal Fact Sheet" sheetId="1" r:id="rId1"/>
    <sheet name="Valuation Bridge " sheetId="2" r:id="rId2"/>
    <sheet name="Aftermarket Trading " sheetId="6" r:id="rId3"/>
    <sheet name="Trading Comps" sheetId="9" r:id="rId4"/>
    <sheet name="Segment SOTP" sheetId="10" r:id="rId5"/>
    <sheet name="DCF Scenario" sheetId="11" r:id="rId6"/>
    <sheet name="Valuation Summary" sheetId="12" r:id="rId7"/>
    <sheet name="Deal Structure" sheetId="13" r:id="rId8"/>
    <sheet name="Use Of Proceeds " sheetId="14" r:id="rId9"/>
    <sheet name="Risk Factors" sheetId="15" r:id="rId10"/>
    <sheet name="Sources" sheetId="3" r:id="rId11"/>
    <sheet name="PB_CACHE_JS" sheetId="4" state="veryHidden" r:id="rId12"/>
    <sheet name="CACHE_CHARTS_JS" sheetId="5" state="very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6" i="1" l="1" a="1"/>
  <c r="C66" i="1" s="1"/>
  <c r="C10" i="2"/>
  <c r="B30" i="14"/>
  <c r="B7" i="14"/>
  <c r="B9" i="14" s="1"/>
  <c r="C20" i="6"/>
  <c r="C5" i="2"/>
  <c r="G13" i="6"/>
  <c r="G14" i="6"/>
  <c r="G15" i="6"/>
  <c r="F13" i="6"/>
  <c r="F14" i="6"/>
  <c r="F15" i="6"/>
  <c r="D13" i="6"/>
  <c r="D14" i="6"/>
  <c r="D15" i="6"/>
  <c r="C13" i="6" a="1"/>
  <c r="C13" i="6" s="1"/>
  <c r="C14" i="6" a="1"/>
  <c r="C14" i="6" s="1"/>
  <c r="C15" i="6" a="1"/>
  <c r="C15" i="6" s="1"/>
  <c r="D23" i="15"/>
  <c r="D22" i="15"/>
  <c r="D21" i="15"/>
  <c r="D15" i="15"/>
  <c r="D12" i="15"/>
  <c r="D11" i="15"/>
  <c r="B24" i="14"/>
  <c r="B25" i="14"/>
  <c r="B26" i="14"/>
  <c r="B5" i="14"/>
  <c r="B27" i="14"/>
  <c r="B28" i="14"/>
  <c r="B29" i="14"/>
  <c r="B8" i="13"/>
  <c r="B5" i="13"/>
  <c r="B6" i="13"/>
  <c r="B7" i="13"/>
  <c r="B9" i="13"/>
  <c r="B6" i="14"/>
  <c r="B10" i="13"/>
  <c r="B10" i="14"/>
  <c r="B11" i="14"/>
  <c r="B13" i="13"/>
  <c r="B14" i="13"/>
  <c r="B36" i="13"/>
  <c r="B12" i="13"/>
  <c r="B15" i="13"/>
  <c r="B16" i="13"/>
  <c r="H11" i="10"/>
  <c r="I11" i="10"/>
  <c r="J11" i="10"/>
  <c r="H5" i="10"/>
  <c r="I5" i="10"/>
  <c r="J5" i="10"/>
  <c r="H6" i="10"/>
  <c r="I6" i="10"/>
  <c r="J6" i="10"/>
  <c r="H7" i="10"/>
  <c r="I7" i="10"/>
  <c r="J7" i="10"/>
  <c r="H8" i="10"/>
  <c r="I8" i="10"/>
  <c r="J8" i="10"/>
  <c r="C27" i="1" a="1"/>
  <c r="C27" i="1"/>
  <c r="B13" i="12"/>
  <c r="B14" i="12"/>
  <c r="B15" i="12"/>
  <c r="B16" i="12"/>
  <c r="E4" i="12"/>
  <c r="C65" i="1" a="1"/>
  <c r="C65" i="1"/>
  <c r="C50" i="1"/>
  <c r="C32" i="1" a="1"/>
  <c r="C32" i="1"/>
  <c r="C48" i="1" a="1"/>
  <c r="C48" i="1"/>
  <c r="D38" i="9"/>
  <c r="D37" i="9"/>
  <c r="D35" i="9"/>
  <c r="D34" i="9"/>
  <c r="D33" i="9"/>
  <c r="D20" i="9" a="1"/>
  <c r="D20" i="9"/>
  <c r="D16" i="9" a="1"/>
  <c r="D16" i="9"/>
  <c r="K24" i="9" a="1"/>
  <c r="K24" i="9"/>
  <c r="K25" i="9" a="1"/>
  <c r="K25" i="9"/>
  <c r="K26" i="9" a="1"/>
  <c r="K26" i="9"/>
  <c r="K27" i="9" a="1"/>
  <c r="K27" i="9"/>
  <c r="K28" i="9" a="1"/>
  <c r="K28" i="9"/>
  <c r="K29" i="9" a="1"/>
  <c r="K29" i="9"/>
  <c r="K30" i="9" a="1"/>
  <c r="K30" i="9"/>
  <c r="K23" i="9" a="1"/>
  <c r="K23" i="9"/>
  <c r="H23" i="9"/>
  <c r="G24" i="9" a="1"/>
  <c r="G24" i="9"/>
  <c r="J24" i="9"/>
  <c r="G25" i="9" a="1"/>
  <c r="G25" i="9"/>
  <c r="G26" i="9" a="1"/>
  <c r="G26" i="9"/>
  <c r="G27" i="9" a="1"/>
  <c r="G27" i="9"/>
  <c r="G28" i="9" a="1"/>
  <c r="G28" i="9"/>
  <c r="G29" i="9" a="1"/>
  <c r="G29" i="9"/>
  <c r="G30" i="9" a="1"/>
  <c r="G30" i="9"/>
  <c r="G23" i="9" a="1"/>
  <c r="G23" i="9"/>
  <c r="F24" i="9" a="1"/>
  <c r="F24" i="9"/>
  <c r="F25" i="9" a="1"/>
  <c r="F25" i="9"/>
  <c r="F26" i="9" a="1"/>
  <c r="F26" i="9"/>
  <c r="F27" i="9" a="1"/>
  <c r="F27" i="9"/>
  <c r="F28" i="9" a="1"/>
  <c r="F28" i="9"/>
  <c r="F29" i="9" a="1"/>
  <c r="F29" i="9"/>
  <c r="F30" i="9" a="1"/>
  <c r="F30" i="9"/>
  <c r="F23" i="9" a="1"/>
  <c r="F23" i="9"/>
  <c r="E24" i="9" a="1"/>
  <c r="E24" i="9"/>
  <c r="E25" i="9" a="1"/>
  <c r="E25" i="9"/>
  <c r="E26" i="9" a="1"/>
  <c r="E26" i="9"/>
  <c r="E27" i="9" a="1"/>
  <c r="E27" i="9"/>
  <c r="E28" i="9" a="1"/>
  <c r="E28" i="9"/>
  <c r="E29" i="9" a="1"/>
  <c r="E29" i="9"/>
  <c r="E30" i="9" a="1"/>
  <c r="E30" i="9"/>
  <c r="E23" i="9" a="1"/>
  <c r="E23" i="9"/>
  <c r="D24" i="9" a="1"/>
  <c r="D24" i="9"/>
  <c r="D25" i="9" a="1"/>
  <c r="D25" i="9"/>
  <c r="D26" i="9" a="1"/>
  <c r="D26" i="9"/>
  <c r="D27" i="9" a="1"/>
  <c r="D27" i="9"/>
  <c r="D28" i="9" a="1"/>
  <c r="D28" i="9"/>
  <c r="D29" i="9" a="1"/>
  <c r="D29" i="9"/>
  <c r="D30" i="9" a="1"/>
  <c r="D30" i="9"/>
  <c r="D23" i="9" a="1"/>
  <c r="D23" i="9"/>
  <c r="K15" i="9" a="1"/>
  <c r="K15" i="9"/>
  <c r="K16" i="9" a="1"/>
  <c r="K16" i="9"/>
  <c r="K17" i="9" a="1"/>
  <c r="K17" i="9"/>
  <c r="K18" i="9" a="1"/>
  <c r="K18" i="9"/>
  <c r="K19" i="9" a="1"/>
  <c r="K19" i="9"/>
  <c r="K20" i="9" a="1"/>
  <c r="K20" i="9"/>
  <c r="K14" i="9" a="1"/>
  <c r="K14" i="9"/>
  <c r="G15" i="9" a="1"/>
  <c r="G15" i="9"/>
  <c r="G16" i="9" a="1"/>
  <c r="G16" i="9"/>
  <c r="G17" i="9" a="1"/>
  <c r="G17" i="9"/>
  <c r="G18" i="9" a="1"/>
  <c r="G18" i="9"/>
  <c r="G19" i="9" a="1"/>
  <c r="G19" i="9"/>
  <c r="G20" i="9" a="1"/>
  <c r="G20" i="9"/>
  <c r="G14" i="9" a="1"/>
  <c r="G14" i="9"/>
  <c r="F15" i="9" a="1"/>
  <c r="F15" i="9"/>
  <c r="F16" i="9" a="1"/>
  <c r="F16" i="9"/>
  <c r="F17" i="9" a="1"/>
  <c r="F17" i="9"/>
  <c r="F18" i="9" a="1"/>
  <c r="F18" i="9"/>
  <c r="F19" i="9" a="1"/>
  <c r="F19" i="9"/>
  <c r="F20" i="9" a="1"/>
  <c r="F20" i="9"/>
  <c r="F14" i="9" a="1"/>
  <c r="F14" i="9"/>
  <c r="E15" i="9" a="1"/>
  <c r="E15" i="9"/>
  <c r="E16" i="9" a="1"/>
  <c r="E16" i="9"/>
  <c r="E17" i="9" a="1"/>
  <c r="E17" i="9"/>
  <c r="E18" i="9" a="1"/>
  <c r="E18" i="9"/>
  <c r="E19" i="9" a="1"/>
  <c r="E19" i="9"/>
  <c r="E20" i="9" a="1"/>
  <c r="E20" i="9"/>
  <c r="E14" i="9" a="1"/>
  <c r="E14" i="9"/>
  <c r="D15" i="9" a="1"/>
  <c r="D15" i="9"/>
  <c r="D17" i="9" a="1"/>
  <c r="D17" i="9"/>
  <c r="D18" i="9" a="1"/>
  <c r="D18" i="9"/>
  <c r="D19" i="9" a="1"/>
  <c r="D19" i="9"/>
  <c r="D14" i="9" a="1"/>
  <c r="D14" i="9"/>
  <c r="K9" i="9" a="1"/>
  <c r="K9" i="9"/>
  <c r="K6" i="9" a="1"/>
  <c r="K6" i="9"/>
  <c r="K7" i="9" a="1"/>
  <c r="K7" i="9"/>
  <c r="K8" i="9" a="1"/>
  <c r="K8" i="9"/>
  <c r="K10" i="9" a="1"/>
  <c r="K10" i="9"/>
  <c r="K11" i="9" a="1"/>
  <c r="K11" i="9"/>
  <c r="K5" i="9" a="1"/>
  <c r="K5" i="9"/>
  <c r="G6" i="9" a="1"/>
  <c r="G6" i="9"/>
  <c r="G7" i="9" a="1"/>
  <c r="G7" i="9"/>
  <c r="G8" i="9" a="1"/>
  <c r="G8" i="9"/>
  <c r="G9" i="9" a="1"/>
  <c r="G9" i="9"/>
  <c r="G10" i="9" a="1"/>
  <c r="G10" i="9"/>
  <c r="G11" i="9" a="1"/>
  <c r="G11" i="9"/>
  <c r="G5" i="9" a="1"/>
  <c r="G5" i="9"/>
  <c r="F6" i="9" a="1"/>
  <c r="F6" i="9"/>
  <c r="F7" i="9" a="1"/>
  <c r="F7" i="9"/>
  <c r="F8" i="9" a="1"/>
  <c r="F8" i="9"/>
  <c r="F9" i="9" a="1"/>
  <c r="F9" i="9"/>
  <c r="F10" i="9" a="1"/>
  <c r="F10" i="9"/>
  <c r="F11" i="9" a="1"/>
  <c r="F11" i="9"/>
  <c r="F5" i="9" a="1"/>
  <c r="F5" i="9"/>
  <c r="E6" i="9" a="1"/>
  <c r="E6" i="9"/>
  <c r="E7" i="9" a="1"/>
  <c r="E7" i="9"/>
  <c r="E8" i="9" a="1"/>
  <c r="E8" i="9"/>
  <c r="E9" i="9" a="1"/>
  <c r="E9" i="9"/>
  <c r="E10" i="9" a="1"/>
  <c r="E10" i="9"/>
  <c r="E11" i="9" a="1"/>
  <c r="E11" i="9"/>
  <c r="E5" i="9" a="1"/>
  <c r="E5" i="9"/>
  <c r="D6" i="9" a="1"/>
  <c r="D6" i="9"/>
  <c r="D7" i="9" a="1"/>
  <c r="D7" i="9"/>
  <c r="D8" i="9" a="1"/>
  <c r="D8" i="9"/>
  <c r="D9" i="9" a="1"/>
  <c r="D9" i="9"/>
  <c r="D10" i="9" a="1"/>
  <c r="D10" i="9"/>
  <c r="D11" i="9" a="1"/>
  <c r="D11" i="9"/>
  <c r="D5" i="9" a="1"/>
  <c r="D5" i="9"/>
  <c r="C12" i="6" a="1"/>
  <c r="C12" i="6" s="1"/>
  <c r="F12" i="6" s="1"/>
  <c r="G12" i="6" s="1"/>
  <c r="C5" i="6" a="1"/>
  <c r="C5" i="6" s="1"/>
  <c r="D5" i="6" s="1"/>
  <c r="C6" i="6" a="1"/>
  <c r="C6" i="6" s="1"/>
  <c r="D6" i="6" s="1"/>
  <c r="C7" i="6" a="1"/>
  <c r="C7" i="6" s="1"/>
  <c r="F7" i="6" s="1"/>
  <c r="G7" i="6" s="1"/>
  <c r="C8" i="6" a="1"/>
  <c r="C8" i="6" s="1"/>
  <c r="F8" i="6" s="1"/>
  <c r="G8" i="6" s="1"/>
  <c r="C9" i="6" a="1"/>
  <c r="C9" i="6" s="1"/>
  <c r="F9" i="6" s="1"/>
  <c r="G9" i="6" s="1"/>
  <c r="C10" i="6" a="1"/>
  <c r="C10" i="6" s="1"/>
  <c r="D10" i="6" s="1"/>
  <c r="C11" i="6" a="1"/>
  <c r="C11" i="6" s="1"/>
  <c r="D11" i="6" s="1"/>
  <c r="C54" i="1" a="1"/>
  <c r="C54" i="1"/>
  <c r="C71" i="1"/>
  <c r="C29" i="1" a="1"/>
  <c r="C29" i="1"/>
  <c r="C28" i="1" a="1"/>
  <c r="C28" i="1"/>
  <c r="C26" i="1" a="1"/>
  <c r="C26" i="1"/>
  <c r="C25" i="1" a="1"/>
  <c r="C25" i="1"/>
  <c r="B5" i="11"/>
  <c r="C67" i="1" a="1"/>
  <c r="C67" i="1"/>
  <c r="C63" i="1" a="1"/>
  <c r="C63" i="1"/>
  <c r="C62" i="1" a="1"/>
  <c r="C62" i="1"/>
  <c r="C47" i="1"/>
  <c r="C6" i="2"/>
  <c r="C8" i="2"/>
  <c r="C12" i="1"/>
  <c r="C14" i="1"/>
  <c r="C49" i="1"/>
  <c r="B7" i="11"/>
  <c r="B9" i="11"/>
  <c r="C5" i="11"/>
  <c r="C10" i="11"/>
  <c r="B10" i="11"/>
  <c r="B14" i="11" s="1"/>
  <c r="B4" i="12"/>
  <c r="D13" i="12"/>
  <c r="I16" i="10"/>
  <c r="D4" i="12"/>
  <c r="C4" i="12"/>
  <c r="B12" i="11"/>
  <c r="H24" i="9"/>
  <c r="J28" i="9"/>
  <c r="H29" i="9"/>
  <c r="J26" i="9"/>
  <c r="H27" i="9"/>
  <c r="H25" i="9"/>
  <c r="J30" i="9"/>
  <c r="J29" i="9"/>
  <c r="H30" i="9"/>
  <c r="H28" i="9"/>
  <c r="H26" i="9"/>
  <c r="I24" i="9"/>
  <c r="I25" i="9"/>
  <c r="I27" i="9"/>
  <c r="I23" i="9"/>
  <c r="I28" i="9"/>
  <c r="I26" i="9"/>
  <c r="J25" i="9"/>
  <c r="I30" i="9"/>
  <c r="J27" i="9"/>
  <c r="I29" i="9"/>
  <c r="J23" i="9"/>
  <c r="H15" i="9"/>
  <c r="H17" i="9"/>
  <c r="H19" i="9"/>
  <c r="H16" i="9"/>
  <c r="H20" i="9"/>
  <c r="H18" i="9"/>
  <c r="H14" i="9"/>
  <c r="I20" i="9"/>
  <c r="I18" i="9"/>
  <c r="I19" i="9"/>
  <c r="I14" i="9"/>
  <c r="I16" i="9"/>
  <c r="I15" i="9"/>
  <c r="I17" i="9"/>
  <c r="J19" i="9"/>
  <c r="H11" i="9"/>
  <c r="H9" i="9"/>
  <c r="H8" i="9"/>
  <c r="H7" i="9"/>
  <c r="H6" i="9"/>
  <c r="H10" i="9"/>
  <c r="H5" i="9"/>
  <c r="I8" i="9"/>
  <c r="I11" i="9"/>
  <c r="I7" i="9"/>
  <c r="I10" i="9"/>
  <c r="I5" i="9"/>
  <c r="I6" i="9"/>
  <c r="J7" i="9"/>
  <c r="J11" i="9"/>
  <c r="J10" i="9"/>
  <c r="I9" i="9"/>
  <c r="J8" i="9"/>
  <c r="J5" i="9"/>
  <c r="C58" i="1"/>
  <c r="C12" i="2"/>
  <c r="C55" i="1"/>
  <c r="C56" i="1"/>
  <c r="C51" i="1"/>
  <c r="C53" i="1"/>
  <c r="B25" i="11"/>
  <c r="H12" i="10"/>
  <c r="J12" i="10"/>
  <c r="J13" i="10"/>
  <c r="F15" i="12"/>
  <c r="H13" i="10"/>
  <c r="D15" i="12"/>
  <c r="C12" i="11"/>
  <c r="D5" i="11"/>
  <c r="D12" i="11"/>
  <c r="C7" i="11"/>
  <c r="C9" i="11"/>
  <c r="C14" i="11"/>
  <c r="C15" i="11" s="1"/>
  <c r="C13" i="12"/>
  <c r="F4" i="12"/>
  <c r="E13" i="12"/>
  <c r="F13" i="12"/>
  <c r="C7" i="2"/>
  <c r="C9" i="2"/>
  <c r="B5" i="12"/>
  <c r="D14" i="12"/>
  <c r="C5" i="12"/>
  <c r="D5" i="12"/>
  <c r="I17" i="10"/>
  <c r="C52" i="1"/>
  <c r="C72" i="1"/>
  <c r="C74" i="1"/>
  <c r="C57" i="1"/>
  <c r="C73" i="1"/>
  <c r="C75" i="1"/>
  <c r="I12" i="10"/>
  <c r="I13" i="10"/>
  <c r="D7" i="11"/>
  <c r="E5" i="11"/>
  <c r="E7" i="11"/>
  <c r="D10" i="11"/>
  <c r="D6" i="12"/>
  <c r="B6" i="12"/>
  <c r="I19" i="10"/>
  <c r="E15" i="12"/>
  <c r="C6" i="12"/>
  <c r="F6" i="12"/>
  <c r="I18" i="10"/>
  <c r="C11" i="2"/>
  <c r="F14" i="12"/>
  <c r="C14" i="12"/>
  <c r="E5" i="12"/>
  <c r="E14" i="12"/>
  <c r="D9" i="11"/>
  <c r="D14" i="11"/>
  <c r="E6" i="12"/>
  <c r="F5" i="11"/>
  <c r="F7" i="11"/>
  <c r="E12" i="11"/>
  <c r="E10" i="11"/>
  <c r="C15" i="12"/>
  <c r="D15" i="11"/>
  <c r="E9" i="11"/>
  <c r="E14" i="11"/>
  <c r="F12" i="11"/>
  <c r="F10" i="11"/>
  <c r="E15" i="11"/>
  <c r="F9" i="11"/>
  <c r="F14" i="11"/>
  <c r="F15" i="11"/>
  <c r="B20" i="11"/>
  <c r="B21" i="11"/>
  <c r="B23" i="11"/>
  <c r="D24" i="15" l="1"/>
  <c r="C19" i="6"/>
  <c r="B35" i="13"/>
  <c r="F6" i="6"/>
  <c r="G6" i="6" s="1"/>
  <c r="F5" i="6"/>
  <c r="D20" i="15"/>
  <c r="D12" i="6"/>
  <c r="B34" i="13"/>
  <c r="F11" i="6"/>
  <c r="G11" i="6" s="1"/>
  <c r="F10" i="6"/>
  <c r="G10" i="6" s="1"/>
  <c r="D9" i="6"/>
  <c r="D8" i="6"/>
  <c r="D7" i="6"/>
  <c r="F40" i="11"/>
  <c r="B15" i="11"/>
  <c r="E41" i="11"/>
  <c r="D39" i="11"/>
  <c r="B39" i="11"/>
  <c r="E40" i="11"/>
  <c r="E39" i="11"/>
  <c r="B41" i="11"/>
  <c r="D42" i="11"/>
  <c r="D40" i="11"/>
  <c r="C7" i="12" s="1"/>
  <c r="C41" i="11"/>
  <c r="F42" i="11"/>
  <c r="B38" i="11"/>
  <c r="F41" i="11"/>
  <c r="D41" i="11"/>
  <c r="F39" i="11"/>
  <c r="F38" i="11"/>
  <c r="B42" i="11"/>
  <c r="B22" i="11"/>
  <c r="B24" i="11" s="1"/>
  <c r="B26" i="11" s="1"/>
  <c r="B40" i="11"/>
  <c r="E38" i="11"/>
  <c r="C38" i="11"/>
  <c r="C40" i="11"/>
  <c r="C39" i="11"/>
  <c r="E42" i="11"/>
  <c r="C42" i="11"/>
  <c r="D38" i="11"/>
  <c r="C21" i="6" l="1"/>
  <c r="G5" i="6"/>
  <c r="B27" i="11"/>
  <c r="B28" i="11"/>
  <c r="E7" i="12"/>
  <c r="F7" i="12"/>
  <c r="E16" i="12"/>
  <c r="D7" i="12"/>
  <c r="B7" i="12"/>
  <c r="D16" i="12" s="1"/>
  <c r="C16" i="12" l="1"/>
  <c r="F16"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<sst xmlns="http://schemas.openxmlformats.org/spreadsheetml/2006/main" count="1211" uniqueCount="706">
  <si>
    <t xml:space="preserve">SpaceX IPO Deal Fact Sheet </t>
  </si>
  <si>
    <t>Item</t>
  </si>
  <si>
    <t>Entity/PBID</t>
  </si>
  <si>
    <t>Value</t>
  </si>
  <si>
    <t>Units</t>
  </si>
  <si>
    <t>Source</t>
  </si>
  <si>
    <t>Confidence</t>
  </si>
  <si>
    <t>Notes</t>
  </si>
  <si>
    <t>Company</t>
  </si>
  <si>
    <t>Ticker</t>
  </si>
  <si>
    <t>Exchange</t>
  </si>
  <si>
    <t>IPO Pricing date</t>
  </si>
  <si>
    <t xml:space="preserve">IPO TRANSACTION TERMS </t>
  </si>
  <si>
    <t xml:space="preserve">First Trading date </t>
  </si>
  <si>
    <t xml:space="preserve">Offer Price </t>
  </si>
  <si>
    <t>Gross Proceeds</t>
  </si>
  <si>
    <t>Greenshoe Shares</t>
  </si>
  <si>
    <t>Primary/Secondary Mix</t>
  </si>
  <si>
    <t>Lead Underwriters</t>
  </si>
  <si>
    <t>SpaceX</t>
  </si>
  <si>
    <t>46488-07</t>
  </si>
  <si>
    <t>Nasdaq</t>
  </si>
  <si>
    <t>SPCX</t>
  </si>
  <si>
    <t>Date</t>
  </si>
  <si>
    <t>$/Share</t>
  </si>
  <si>
    <t>mm shares</t>
  </si>
  <si>
    <t>$mm</t>
  </si>
  <si>
    <t>%/$mm</t>
  </si>
  <si>
    <t>Text</t>
  </si>
  <si>
    <t>Prospectus/S-1</t>
  </si>
  <si>
    <t>Prospectus/Nasdaq</t>
  </si>
  <si>
    <t>424B4/price release</t>
  </si>
  <si>
    <t>Nasdaq/market data</t>
  </si>
  <si>
    <t>formula</t>
  </si>
  <si>
    <t>Formula</t>
  </si>
  <si>
    <t>Prospectus</t>
  </si>
  <si>
    <t>H</t>
  </si>
  <si>
    <t>H/M</t>
  </si>
  <si>
    <t>issuer</t>
  </si>
  <si>
    <t>Public ticker</t>
  </si>
  <si>
    <t xml:space="preserve">Verify exact listing venue </t>
  </si>
  <si>
    <t>Pricing Night</t>
  </si>
  <si>
    <t>First Trading Session</t>
  </si>
  <si>
    <t>Hardcoded Input</t>
  </si>
  <si>
    <t>Shares Sold In IPO</t>
  </si>
  <si>
    <t>Offer price x Shares Offered</t>
  </si>
  <si>
    <t>only valid after greenshoe is filled</t>
  </si>
  <si>
    <t>need exact split</t>
  </si>
  <si>
    <t xml:space="preserve">Verify From final prospectus </t>
  </si>
  <si>
    <t>BUSINESS ENGINES</t>
  </si>
  <si>
    <t>Valuation Implications</t>
  </si>
  <si>
    <t>Recurring satellite broadband business serving consumer, enterprise, aviation, maritime, direct-to-cell, and government connectivity customers</t>
  </si>
  <si>
    <t>Launch business using Falcon 9, Falcon Heavy, and Starship for commercial, civil government, NASA, national security, and other payload missions</t>
  </si>
  <si>
    <t>Secure satellite communications and defense/government programs, if separately disclosed</t>
  </si>
  <si>
    <t>Starlink and Launch should be valued separately because recurring connectivity revenue and launch services have different growth, margin, capex, and multiple profiles</t>
  </si>
  <si>
    <t>S-1 business section</t>
  </si>
  <si>
    <t>High-growth recurring revenue; premium multiple candidate</t>
  </si>
  <si>
    <t>Cadence / contract-driven valuation lens</t>
  </si>
  <si>
    <t>Keep separate only if disclosure supports it</t>
  </si>
  <si>
    <t>Justifies SOTP later</t>
  </si>
  <si>
    <t>FINANCIAL PROFILE</t>
  </si>
  <si>
    <t>Shares Offered</t>
  </si>
  <si>
    <t>M</t>
  </si>
  <si>
    <t xml:space="preserve">Launch Services </t>
  </si>
  <si>
    <t>Starlink/Connectivity</t>
  </si>
  <si>
    <t>Starshield /Defense/Other</t>
  </si>
  <si>
    <t>FY Revenue</t>
  </si>
  <si>
    <t>Revenue Growth</t>
  </si>
  <si>
    <t>Q1 Revenue</t>
  </si>
  <si>
    <t>Q1 Revenue Growth</t>
  </si>
  <si>
    <t>EBITDA/ Adj. EBITDA</t>
  </si>
  <si>
    <t>Capex</t>
  </si>
  <si>
    <t xml:space="preserve">Cash and Equivalents </t>
  </si>
  <si>
    <t>Debt</t>
  </si>
  <si>
    <t>Segment Disclosure Caveat</t>
  </si>
  <si>
    <t>S-1 / 424B4</t>
  </si>
  <si>
    <t>S-1 / Estimate</t>
  </si>
  <si>
    <t>Model Judgment</t>
  </si>
  <si>
    <t>H/M/L</t>
  </si>
  <si>
    <t>Latest fiscal year</t>
  </si>
  <si>
    <t>YoY growth</t>
  </si>
  <si>
    <t>Latest quarter</t>
  </si>
  <si>
    <t>Use exact disclosed metric</t>
  </si>
  <si>
    <t>Negative shown in parentheses</t>
  </si>
  <si>
    <t>Important for DCF / FCF</t>
  </si>
  <si>
    <t>Needed for EV</t>
  </si>
  <si>
    <t>H only if disclosed</t>
  </si>
  <si>
    <t>If disclosed</t>
  </si>
  <si>
    <t>Explain which segment figures are estimated</t>
  </si>
  <si>
    <t>%</t>
  </si>
  <si>
    <t>Total Proceed Incl. Greenshoe</t>
  </si>
  <si>
    <t>Starlink/Connectivity Revenue</t>
  </si>
  <si>
    <t xml:space="preserve">VALUATION SNAPSHOT </t>
  </si>
  <si>
    <t xml:space="preserve">IPO EQUITY VALUE </t>
  </si>
  <si>
    <t xml:space="preserve">CASH AND EQUIVALENTS </t>
  </si>
  <si>
    <t>DEBT</t>
  </si>
  <si>
    <t xml:space="preserve">IPO EV / REVENUE </t>
  </si>
  <si>
    <t xml:space="preserve">IPO EV / EBITDA </t>
  </si>
  <si>
    <t>DAY-1 EQUITY VALUE</t>
  </si>
  <si>
    <t xml:space="preserve">DAY-1 ENTERPRISE VALUE </t>
  </si>
  <si>
    <t xml:space="preserve">DAY-1 EV/REVENUE </t>
  </si>
  <si>
    <t xml:space="preserve">MONEY LEFT ON THE TABLE </t>
  </si>
  <si>
    <t xml:space="preserve">mm shares </t>
  </si>
  <si>
    <t xml:space="preserve">$/share </t>
  </si>
  <si>
    <t>424B4/Prospectus</t>
  </si>
  <si>
    <t xml:space="preserve">link to row 32 </t>
  </si>
  <si>
    <t>link to row 33</t>
  </si>
  <si>
    <t>Nasdaq/Pitchbook</t>
  </si>
  <si>
    <t xml:space="preserve">Do not confuse with shares offered </t>
  </si>
  <si>
    <t xml:space="preserve">offer price x Shares offered </t>
  </si>
  <si>
    <t>internal link</t>
  </si>
  <si>
    <t>Pricing Multiple</t>
  </si>
  <si>
    <t xml:space="preserve">Only meaningful if EBITDA is clean </t>
  </si>
  <si>
    <t>Aftermarket Close</t>
  </si>
  <si>
    <t xml:space="preserve">EV at first Close </t>
  </si>
  <si>
    <t>Day-1 Re-rating</t>
  </si>
  <si>
    <t>ECM Underpricing Lens</t>
  </si>
  <si>
    <t xml:space="preserve">PITCHBOOK PULLS </t>
  </si>
  <si>
    <t xml:space="preserve">PitchBook Company ID </t>
  </si>
  <si>
    <t>Current Share Price</t>
  </si>
  <si>
    <t>Current market Cap</t>
  </si>
  <si>
    <t xml:space="preserve">Current Enterprise Value </t>
  </si>
  <si>
    <t>LTM Revenue</t>
  </si>
  <si>
    <t>LTM EBITDA</t>
  </si>
  <si>
    <t>Last Private tender/ Secondary Round</t>
  </si>
  <si>
    <t>Last Private Post Money Valuation</t>
  </si>
  <si>
    <t>Overallotment shares, exercised in full</t>
  </si>
  <si>
    <t>100% primary</t>
  </si>
  <si>
    <t xml:space="preserve">DAY-1 CLOSE PRICE </t>
  </si>
  <si>
    <t>SUMMARY</t>
  </si>
  <si>
    <t>Day-1 POP</t>
  </si>
  <si>
    <t>IPO EV/REVENUE</t>
  </si>
  <si>
    <t>DAY-1 EV/REVENUE</t>
  </si>
  <si>
    <t>Re-Rating from IPO to Day-1</t>
  </si>
  <si>
    <t xml:space="preserve">Value Left on the Table </t>
  </si>
  <si>
    <t>TOTAL DILUTED SHARES OUTSTANDING</t>
  </si>
  <si>
    <t>Equity Value + Debt- Cash</t>
  </si>
  <si>
    <t xml:space="preserve">SpaceX Valuation Bridge </t>
  </si>
  <si>
    <t xml:space="preserve">PRIVATE-TO-IPO VALUATION BRIDGE </t>
  </si>
  <si>
    <t xml:space="preserve">IPO Equity Value </t>
  </si>
  <si>
    <t xml:space="preserve">Day-1 Equity Value </t>
  </si>
  <si>
    <t xml:space="preserve">IPO Uplift vs Last Private Valuation </t>
  </si>
  <si>
    <t xml:space="preserve">Day-1 Uplift vs Last Private Valuation </t>
  </si>
  <si>
    <t>Day-1 Uplift vs IPO Equity Value</t>
  </si>
  <si>
    <t>Equity value Created From IPO to Day-1</t>
  </si>
  <si>
    <t xml:space="preserve">Money left on the table </t>
  </si>
  <si>
    <t>Bridge Conclusion</t>
  </si>
  <si>
    <t xml:space="preserve">Reference </t>
  </si>
  <si>
    <t>Deal Fact Sheet!C60</t>
  </si>
  <si>
    <t>Deal Fact Sheet!C41</t>
  </si>
  <si>
    <t>Deal Fact Sheet!C48</t>
  </si>
  <si>
    <t>Model</t>
  </si>
  <si>
    <t>Deal Fact Sheet!C51</t>
  </si>
  <si>
    <t>PitchBook</t>
  </si>
  <si>
    <t>Model Judgement</t>
  </si>
  <si>
    <t>M/H</t>
  </si>
  <si>
    <t>Offer price × diluted shares</t>
  </si>
  <si>
    <t>Day-1 close × diluted shares</t>
  </si>
  <si>
    <t>Private-to-IPO re-rating</t>
  </si>
  <si>
    <t>Private-to-Day-1 re-rating</t>
  </si>
  <si>
    <t>Same as Day-1 pop if share count constant</t>
  </si>
  <si>
    <t>Public market uplift after pricing</t>
  </si>
  <si>
    <t>Offer-to-Day-1 spread × shares offered</t>
  </si>
  <si>
    <t>Last private valuation before IPO; verify round date and valuation source</t>
  </si>
  <si>
    <t>Conclusion</t>
  </si>
  <si>
    <t>Day-1 Close x Diluted share</t>
  </si>
  <si>
    <t xml:space="preserve">Date </t>
  </si>
  <si>
    <t xml:space="preserve">Close Price </t>
  </si>
  <si>
    <t xml:space="preserve">% vs IPO Price </t>
  </si>
  <si>
    <t>Volume</t>
  </si>
  <si>
    <t xml:space="preserve">Equity Value </t>
  </si>
  <si>
    <t>Enterprise value</t>
  </si>
  <si>
    <t xml:space="preserve">First Week Trading Perfomance </t>
  </si>
  <si>
    <t>Enterprise Value</t>
  </si>
  <si>
    <t>First trading close</t>
  </si>
  <si>
    <t>Day 2</t>
  </si>
  <si>
    <t>Day 3</t>
  </si>
  <si>
    <t>Day 4</t>
  </si>
  <si>
    <t>Day 5</t>
  </si>
  <si>
    <t xml:space="preserve">Trading Day </t>
  </si>
  <si>
    <t xml:space="preserve">Day 1 </t>
  </si>
  <si>
    <t>Day 6</t>
  </si>
  <si>
    <t>Day 7</t>
  </si>
  <si>
    <t>Day 8</t>
  </si>
  <si>
    <r>
      <t xml:space="preserve">SpaceX Aftermarket Trading </t>
    </r>
    <r>
      <rPr>
        <b/>
        <sz val="16"/>
        <color rgb="FF002060"/>
        <rFont val="Aptos Narrow (Body)"/>
      </rPr>
      <t xml:space="preserve"> </t>
    </r>
  </si>
  <si>
    <t>Day -1 POP</t>
  </si>
  <si>
    <t>Latest %vs IPO</t>
  </si>
  <si>
    <t xml:space="preserve">Equity Value Created from IPO on Day 1 </t>
  </si>
  <si>
    <t>Aftermarket Conclusion</t>
  </si>
  <si>
    <t>Segment</t>
  </si>
  <si>
    <t>Market Cap</t>
  </si>
  <si>
    <t>Revenue</t>
  </si>
  <si>
    <t>EBITDA</t>
  </si>
  <si>
    <t>EBITDA Margin</t>
  </si>
  <si>
    <t>EV/Revenue</t>
  </si>
  <si>
    <t>EV/EBITDA</t>
  </si>
  <si>
    <t>Viasat</t>
  </si>
  <si>
    <t>Echostar</t>
  </si>
  <si>
    <t>Iridium</t>
  </si>
  <si>
    <t>Globalstar</t>
  </si>
  <si>
    <t>T-Mobile</t>
  </si>
  <si>
    <t>Charter</t>
  </si>
  <si>
    <t>Connectivity</t>
  </si>
  <si>
    <t>VSAT</t>
  </si>
  <si>
    <t>SATS</t>
  </si>
  <si>
    <t>IRDM</t>
  </si>
  <si>
    <t>GSAT</t>
  </si>
  <si>
    <t>ASTS</t>
  </si>
  <si>
    <t>TMUS</t>
  </si>
  <si>
    <t>CHTR</t>
  </si>
  <si>
    <t>SPACE</t>
  </si>
  <si>
    <t>Rocket Lab</t>
  </si>
  <si>
    <t>Redwire</t>
  </si>
  <si>
    <t>MDA Space</t>
  </si>
  <si>
    <t>RKLB</t>
  </si>
  <si>
    <t>PL</t>
  </si>
  <si>
    <t>RDW</t>
  </si>
  <si>
    <t>LUNR</t>
  </si>
  <si>
    <t>BKSY</t>
  </si>
  <si>
    <t>BA</t>
  </si>
  <si>
    <t>Sidus Space</t>
  </si>
  <si>
    <t>SIDU</t>
  </si>
  <si>
    <t>AEROSPACE &amp; DEFENSE / STRATEGIC ASSET COMPS</t>
  </si>
  <si>
    <t xml:space="preserve">Aerospace  </t>
  </si>
  <si>
    <t>Lockheed Martin</t>
  </si>
  <si>
    <t>Boeing</t>
  </si>
  <si>
    <t>Northrop Grumman</t>
  </si>
  <si>
    <t>RTX</t>
  </si>
  <si>
    <t>General Dynamics</t>
  </si>
  <si>
    <t>L3Harris</t>
  </si>
  <si>
    <t>TransDigm</t>
  </si>
  <si>
    <t>HEICO</t>
  </si>
  <si>
    <t>LMT</t>
  </si>
  <si>
    <t>NOC</t>
  </si>
  <si>
    <t>GD</t>
  </si>
  <si>
    <t>LHX</t>
  </si>
  <si>
    <t>TDG</t>
  </si>
  <si>
    <t>BlackSky</t>
  </si>
  <si>
    <t>Broad aerospace / defense company with space exposure; reference comp, not a pure launch comp.</t>
  </si>
  <si>
    <t>SpaceX Trading Comparables</t>
  </si>
  <si>
    <t>STARLINK/CONNECTIVITY COMPS</t>
  </si>
  <si>
    <t>LAUNCH/SPACE INFRASTRUCTURE COMPS</t>
  </si>
  <si>
    <t>Planet Labs</t>
  </si>
  <si>
    <t>Intuitive Machines</t>
  </si>
  <si>
    <t xml:space="preserve">MDA </t>
  </si>
  <si>
    <t>HEI.A</t>
  </si>
  <si>
    <t>AST SpaceMobile</t>
  </si>
  <si>
    <t>N/M</t>
  </si>
  <si>
    <t>COMPS SUMMARY</t>
  </si>
  <si>
    <t>Connectivity median EV /Revenue</t>
  </si>
  <si>
    <t>Connectivity median EV /EBITDA</t>
  </si>
  <si>
    <t>Launch/Space Infra median EV/Revenue</t>
  </si>
  <si>
    <t>A&amp;D Median EV/Revenue</t>
  </si>
  <si>
    <t>A&amp;D Median EV/EBITDA</t>
  </si>
  <si>
    <t>ASTS excluded from Connectivity median due to extreme EV/Revenue outlier; Launch EV/EBITDA not meaningful because most comps have negative EBITDA.</t>
  </si>
  <si>
    <t>Extreme direct-to-cell satellite growth outlier; exclude from median</t>
  </si>
  <si>
    <t>Very small-cap space infrastructure comp; use as reference / high-risk comp</t>
  </si>
  <si>
    <t>Launch/Space Infra    EV/Revenue</t>
  </si>
  <si>
    <t>SpaceX Segment SOTP Valuation</t>
  </si>
  <si>
    <t xml:space="preserve"> Revenue</t>
  </si>
  <si>
    <t>Selected Metric</t>
  </si>
  <si>
    <t>Low Multiple</t>
  </si>
  <si>
    <t>Base Multiple</t>
  </si>
  <si>
    <t>High Multiple</t>
  </si>
  <si>
    <t>Low Value</t>
  </si>
  <si>
    <t>Base Value</t>
  </si>
  <si>
    <t>High Value</t>
  </si>
  <si>
    <t xml:space="preserve">SEGMENT VALUATION </t>
  </si>
  <si>
    <t xml:space="preserve">Revenue </t>
  </si>
  <si>
    <t>Premium to connectivity median for growth / recurring revenue</t>
  </si>
  <si>
    <t>Based on Launch / Space Infra comp range</t>
  </si>
  <si>
    <t>N/D</t>
  </si>
  <si>
    <t>Placeholder for corporate costs, minority interests, investments, or other adjustments if disclosed.</t>
  </si>
  <si>
    <t>ENTERPRISE VALUE SUMMARY</t>
  </si>
  <si>
    <t xml:space="preserve">Segment Enterprise Value </t>
  </si>
  <si>
    <t>Less: Net Debt (Cash)</t>
  </si>
  <si>
    <t xml:space="preserve">Implied Equity Value </t>
  </si>
  <si>
    <t xml:space="preserve">Sum of Segment Values </t>
  </si>
  <si>
    <t xml:space="preserve">Enterprise Value Minus Net Debt </t>
  </si>
  <si>
    <t xml:space="preserve">Debt Minus Cash </t>
  </si>
  <si>
    <t>VALUATION COMPARISON</t>
  </si>
  <si>
    <t xml:space="preserve">IPO Equity value </t>
  </si>
  <si>
    <t>Day-1 Equity Value</t>
  </si>
  <si>
    <t xml:space="preserve">SOTP Base vs IPO Equity Value </t>
  </si>
  <si>
    <t xml:space="preserve">SOTP Base vs  DAY-1 Equity Value </t>
  </si>
  <si>
    <t>IPO valuation reference</t>
  </si>
  <si>
    <t>Day-1 trading valuation reference</t>
  </si>
  <si>
    <t>Premium / discount to IPO value</t>
  </si>
  <si>
    <t>Premium / discount to Day-1 value</t>
  </si>
  <si>
    <t>SOTP CONCLUSION</t>
  </si>
  <si>
    <t>Equity Value Adjustment</t>
  </si>
  <si>
    <t>2026E</t>
  </si>
  <si>
    <t>2027E</t>
  </si>
  <si>
    <t>2028E</t>
  </si>
  <si>
    <t>2029E</t>
  </si>
  <si>
    <t>2030E</t>
  </si>
  <si>
    <t>Terminal</t>
  </si>
  <si>
    <t>OPERATING FORECAST</t>
  </si>
  <si>
    <t xml:space="preserve">Revenue Growth </t>
  </si>
  <si>
    <t>Less: Taxes</t>
  </si>
  <si>
    <t>Less: Capex</t>
  </si>
  <si>
    <t>Capex% Revenue</t>
  </si>
  <si>
    <t>Less: Change in NWC</t>
  </si>
  <si>
    <t>NWC% of Revenue</t>
  </si>
  <si>
    <t>Unlevered FCF</t>
  </si>
  <si>
    <t>FCF Margin</t>
  </si>
  <si>
    <t>Starts from latest FY revenue</t>
  </si>
  <si>
    <t>Revenue × EBITDA margin</t>
  </si>
  <si>
    <t>Operating leverage</t>
  </si>
  <si>
    <t>Simplified tax on EBITDA</t>
  </si>
  <si>
    <t>Revenue × capex %</t>
  </si>
  <si>
    <t>Heavy reinvestment taper</t>
  </si>
  <si>
    <t>Revenue × NWC %</t>
  </si>
  <si>
    <t>Simplified working capital</t>
  </si>
  <si>
    <t>EBITDA - taxes - capex - NWC</t>
  </si>
  <si>
    <t>FCF / revenue</t>
  </si>
  <si>
    <t xml:space="preserve">DCF VALUATION </t>
  </si>
  <si>
    <t xml:space="preserve">Discount rate </t>
  </si>
  <si>
    <t xml:space="preserve">Terminal Growth rate </t>
  </si>
  <si>
    <t xml:space="preserve">Terminal Year FCF </t>
  </si>
  <si>
    <t xml:space="preserve">Terminal Value </t>
  </si>
  <si>
    <t>PV of FCF</t>
  </si>
  <si>
    <t xml:space="preserve">PV OF Terminal Value </t>
  </si>
  <si>
    <t xml:space="preserve">Implied Enterprise Value </t>
  </si>
  <si>
    <t>Less: Net Debt/(Cash)</t>
  </si>
  <si>
    <t xml:space="preserve">Implied Equity Value / IPO </t>
  </si>
  <si>
    <t>Implied Equity Value vs Day-1</t>
  </si>
  <si>
    <t>DCF Conclusion</t>
  </si>
  <si>
    <t>SpaceX DCF Scenario Valuation</t>
  </si>
  <si>
    <t>WACC / TERMINAL GROWTH</t>
  </si>
  <si>
    <t xml:space="preserve">DCF SENSITIVITY - IMPLIED EQUITY VALUE </t>
  </si>
  <si>
    <t xml:space="preserve">SpaceX Valuation Summary </t>
  </si>
  <si>
    <t>Method</t>
  </si>
  <si>
    <t xml:space="preserve">Low Equity value </t>
  </si>
  <si>
    <t xml:space="preserve">Base Equity Value </t>
  </si>
  <si>
    <t xml:space="preserve">High Equity Value </t>
  </si>
  <si>
    <t>Implied Vs IPO</t>
  </si>
  <si>
    <t xml:space="preserve">Implied Vs Day-1 </t>
  </si>
  <si>
    <t xml:space="preserve">Notes </t>
  </si>
  <si>
    <t xml:space="preserve">IPO Pricing </t>
  </si>
  <si>
    <t xml:space="preserve">Day-1 Trading </t>
  </si>
  <si>
    <t>Segment SOTP</t>
  </si>
  <si>
    <t xml:space="preserve">DCF </t>
  </si>
  <si>
    <t>Trading Comps</t>
  </si>
  <si>
    <t>IPO offer price valuation</t>
  </si>
  <si>
    <t>First close market valuation</t>
  </si>
  <si>
    <t>Simplified operating DCF</t>
  </si>
  <si>
    <t>Use as reference, not direct valuation unless applying multiples</t>
  </si>
  <si>
    <t>Football Field Data</t>
  </si>
  <si>
    <t xml:space="preserve">Method </t>
  </si>
  <si>
    <t>Range Start</t>
  </si>
  <si>
    <t>Range Width</t>
  </si>
  <si>
    <t>Low</t>
  </si>
  <si>
    <t xml:space="preserve">Base </t>
  </si>
  <si>
    <t>High</t>
  </si>
  <si>
    <t>IPO Pricing</t>
  </si>
  <si>
    <t>Day-1 Trading</t>
  </si>
  <si>
    <t>DCF</t>
  </si>
  <si>
    <t>IPO Pricing Point</t>
  </si>
  <si>
    <t>First close Point</t>
  </si>
  <si>
    <t xml:space="preserve">DCF Sensitivity Range </t>
  </si>
  <si>
    <t>N/A - market closed</t>
  </si>
  <si>
    <t>Juneteenth market holiday; no regular trading volume</t>
  </si>
  <si>
    <t>Latest available trading close / volume</t>
  </si>
  <si>
    <t>SpaceX traded up meaningfully on Day 1, closing at $160.95 versus the $135.00 IPO price, implying a 19.2% first-day pop and approximately $341.5bn of equity value creation versus the IPO pricing valuation. The stock remained above the IPO price through the observed aftermarket period, supporting the view that the IPO was priced below early public-market demand, although subsequent volatility indicates the market was still recalibrating around SpaceX’s long-term growth, capex intensity, and segment valuation assumptions.</t>
  </si>
  <si>
    <t xml:space="preserve">IPO ENTERPRISE VALUE </t>
  </si>
  <si>
    <t>AI / xAI Revenue</t>
  </si>
  <si>
    <t>424B4</t>
  </si>
  <si>
    <t>FY2025 AI segment revenue</t>
  </si>
  <si>
    <t>AI / xAI Segment Adj. EBITDA</t>
  </si>
  <si>
    <t>FY2025 AI segment adjusted EBITDA</t>
  </si>
  <si>
    <t>Loss from operations</t>
  </si>
  <si>
    <t>Space / Launch Revenue</t>
  </si>
  <si>
    <t>Connectivity Segment Adj. EBITDA</t>
  </si>
  <si>
    <t>FY2025 segment revenue reconciles to total company revenue: Connectivity $11,387mm + Space $4,086mm + AI $3,201mm = total FY2025 revenue of $18,674mm. Segment adjusted EBITDA is disclosed for Connectivity and AI; Space EBITDA should remain N/D unless separately disclosed.</t>
  </si>
  <si>
    <t>Space / Launch</t>
  </si>
  <si>
    <t>AI / xAI / Compute Infrastructure</t>
  </si>
  <si>
    <t>Corporate/Other Adjustments</t>
  </si>
  <si>
    <t>FY2025 AI segment revenue; EBITDA negative, valued on revenue</t>
  </si>
  <si>
    <t>Pro Forma Cash incl. IPO Proceeds</t>
  </si>
  <si>
    <t>46488-08</t>
  </si>
  <si>
    <t>FY2025 disclosed segment SOTP; excludes embedded optionality</t>
  </si>
  <si>
    <t>SpaceX priced its IPO at $135.00/share, implying approximately $1.78tn of equity value and $1.71tn of pro forma enterprise value after including IPO proceeds in cash. At pricing, this represented approximately 91.8x FY2025 revenue. The stock closed Day 1 at $160.95/share, implying approximately $2.12tn of equity value and $2.06tn of enterprise value, or 110.1x FY2025 revenue. The 19.2% Day-1 pop and ~$14.4bn of value left on the table suggest strong public-market demand and meaningful underpricing versus first-day trading.</t>
  </si>
  <si>
    <t>Based on corrected FY2025 disclosed segment data, the SOTP implies an equity value range of approximately $141.2bn to $236.5bn, with a base case of $192.2bn. This remains materially below the IPO and Day-1 equity values, indicating that the IPO valuation was not supported by current disclosed segment fundamentals alone and instead reflected significant embedded optionality around Starlink scale, Starship economics, AI / compute infrastructure, and long-term strategic value.</t>
  </si>
  <si>
    <t>VALUATION SUMMARY CONCLUSION</t>
  </si>
  <si>
    <t>The valuation work indicates a substantial gap between current disclosed fundamentals and the IPO / Day-1 market valuation. SOTP and DCF outputs remain materially below public-market pricing, even after correcting FY2025 segment data and pro forma cash treatment. The post-IPO valuation therefore appears driven less by near-term financials and more by investor expectations for long-duration growth, platform optionality, and strategic scarcity value.</t>
  </si>
  <si>
    <t xml:space="preserve">SpaceX Deal Structure </t>
  </si>
  <si>
    <t xml:space="preserve">OFFERING STRUCTURE </t>
  </si>
  <si>
    <t>IPO Price</t>
  </si>
  <si>
    <t xml:space="preserve">Greenshoe/Overallotment Shares </t>
  </si>
  <si>
    <t xml:space="preserve">Total Proceeds Incl. Greenshoe </t>
  </si>
  <si>
    <t>Primary Shares</t>
  </si>
  <si>
    <t>Secondary Shares</t>
  </si>
  <si>
    <t>Free Float%</t>
  </si>
  <si>
    <t xml:space="preserve">Pro Forma Enterprise Value </t>
  </si>
  <si>
    <t xml:space="preserve">Lead Underwriters </t>
  </si>
  <si>
    <t>GOVERNANCE/SHARE CLASS</t>
  </si>
  <si>
    <t>Share Classes</t>
  </si>
  <si>
    <t>Public Share Class</t>
  </si>
  <si>
    <t>Founder/Musk Voting Control</t>
  </si>
  <si>
    <t xml:space="preserve">Super-Voting Rights </t>
  </si>
  <si>
    <t xml:space="preserve">Public Shareholder Voting Rights </t>
  </si>
  <si>
    <t>Lock-Up Period</t>
  </si>
  <si>
    <t xml:space="preserve">Lock-Up Parties </t>
  </si>
  <si>
    <t xml:space="preserve">Governance Implications </t>
  </si>
  <si>
    <t>ALLOCATION/DEMAND</t>
  </si>
  <si>
    <t>Book Oversubscription</t>
  </si>
  <si>
    <t>Anchor Investor Allocation</t>
  </si>
  <si>
    <t>Retail Allocation</t>
  </si>
  <si>
    <t xml:space="preserve">First Trade/Open Price </t>
  </si>
  <si>
    <t xml:space="preserve">Day-1 Close </t>
  </si>
  <si>
    <t>Day-1 Pop</t>
  </si>
  <si>
    <t xml:space="preserve">Money Left On the Table </t>
  </si>
  <si>
    <t>DEAL STRUCTURE CONCLUSION</t>
  </si>
  <si>
    <t>SpaceX’s IPO structure combined record primary issuance, limited public float, strong institutional demand, founder-control protections, lock-up constraints, and a green-shoe mechanism to support aftermarket stabilization. The structure appears designed to maximize capital raised while preserving strategic control and creating scarcity value in the public float.</t>
  </si>
  <si>
    <t>Class A common stock and Class B common stock</t>
  </si>
  <si>
    <t>Class A common stock</t>
  </si>
  <si>
    <t>Class B: 10 votes per share; Class A: 1 vote per share</t>
  </si>
  <si>
    <t>1 vote per Class A share</t>
  </si>
  <si>
    <t>Founder control preserved despite public listing</t>
  </si>
  <si>
    <t>Musk, insiders, directors, officers, employees, and selling holders</t>
  </si>
  <si>
    <t>82.3% voting power if overallotment exercised in full</t>
  </si>
  <si>
    <t>366 days</t>
  </si>
  <si>
    <t>Final price at which IPO investors purchased shares.</t>
  </si>
  <si>
    <t>Base number of shares sold in the IPO before any overallotment exercise.</t>
  </si>
  <si>
    <t>Total capital raised before underwriting discounts, commissions, and offering expenses.</t>
  </si>
  <si>
    <t>Optional additional shares underwriters may purchase to support stabilization and meet excess demand.</t>
  </si>
  <si>
    <t>Maximum gross proceeds assuming the overallotment option is fully exercised.</t>
  </si>
  <si>
    <t>New shares issued by the company, with proceeds going to the issuer.</t>
  </si>
  <si>
    <t>Existing shares sold by current holders, with proceeds going to selling shareholders rather than the company.</t>
  </si>
  <si>
    <t>Shows whether the IPO was primarily a capital-raising event or a liquidity event.</t>
  </si>
  <si>
    <t>Share count used to calculate fully diluted equity value after the IPO.</t>
  </si>
  <si>
    <t>Measures the portion of diluted shares initially available for public trading.</t>
  </si>
  <si>
    <t>Fully diluted market value implied by the IPO offer price.</t>
  </si>
  <si>
    <t>Operating value of the company after adjusting equity value for debt and pro forma cash.</t>
  </si>
  <si>
    <t>Banks responsible for leading execution, bookbuilding, pricing, and distribution.</t>
  </si>
  <si>
    <t>Defines the company’s equity structure and whether voting rights differ across share classes.</t>
  </si>
  <si>
    <t>Class of stock sold to public IPO investors.</t>
  </si>
  <si>
    <t>Measures the extent of founder or insider control after the public listing.</t>
  </si>
  <si>
    <t>High-vote shares can preserve insider control despite reduced economic ownership.</t>
  </si>
  <si>
    <t>Voting power received by public IPO investors.</t>
  </si>
  <si>
    <t>Restriction period limiting insider or selling-holder share sales after the IPO.</t>
  </si>
  <si>
    <t>Groups restricted from selling shares during the lock-up period.</t>
  </si>
  <si>
    <t>Summary of how the share structure affects public-market governance.</t>
  </si>
  <si>
    <t>Demand indicator showing how many times investor orders exceeded available shares.</t>
  </si>
  <si>
    <t>Pre-committed institutional demand that can support book quality and pricing confidence.</t>
  </si>
  <si>
    <t>Public or brokerage-based access provided to non-institutional investors.</t>
  </si>
  <si>
    <t>First public trading level and initial market-clearing signal.</t>
  </si>
  <si>
    <t>Final first-day trading price used to judge aftermarket performance.</t>
  </si>
  <si>
    <t>Percentage gain from IPO price to first-day close, indicating underpricing or demand strength.</t>
  </si>
  <si>
    <t>Value transferred to IPO buyers because shares traded above the offer price.</t>
  </si>
  <si>
    <t>$ / share</t>
  </si>
  <si>
    <t>424B4 / Pricing Announcement</t>
  </si>
  <si>
    <t>Formula / 424B4</t>
  </si>
  <si>
    <t>% / Text</t>
  </si>
  <si>
    <t>votes / share</t>
  </si>
  <si>
    <t>days</t>
  </si>
  <si>
    <t>x</t>
  </si>
  <si>
    <t>Pricing Commentary / Offering Materials</t>
  </si>
  <si>
    <t>$mm / %</t>
  </si>
  <si>
    <t>424B4 / Offering Materials</t>
  </si>
  <si>
    <t>Offering Materials</t>
  </si>
  <si>
    <t>Market Data</t>
  </si>
  <si>
    <t>Formula / Market Data</t>
  </si>
  <si>
    <t>4x</t>
  </si>
  <si>
    <t xml:space="preserve">Primary/Secondary Mix </t>
  </si>
  <si>
    <t>Total Diluted Shares Outstanding</t>
  </si>
  <si>
    <t>SpaceX Use of Proceeds</t>
  </si>
  <si>
    <t xml:space="preserve">IPO PROCEEDS BRIDGE </t>
  </si>
  <si>
    <t xml:space="preserve">Gross IPO Proceeds </t>
  </si>
  <si>
    <t>Gross Proceeds incl. Greenshoe</t>
  </si>
  <si>
    <t xml:space="preserve">Underwriting Discounts/Fees </t>
  </si>
  <si>
    <t>Offering Expense</t>
  </si>
  <si>
    <t>Estimated Net Proceeds</t>
  </si>
  <si>
    <t>Primary Proceeds to Company</t>
  </si>
  <si>
    <t xml:space="preserve">Secondary Proceeds to Selling Holders </t>
  </si>
  <si>
    <t>STATED USE OF PROCEEDS</t>
  </si>
  <si>
    <t>Starship Development/ Launch Infrastructure</t>
  </si>
  <si>
    <t>Starlink Satelliete Constellation Capex</t>
  </si>
  <si>
    <t>AI/xAI/Computer Infrastructure</t>
  </si>
  <si>
    <t>General Corporate Purposes</t>
  </si>
  <si>
    <t>Working Capital</t>
  </si>
  <si>
    <t>Debt Repayment</t>
  </si>
  <si>
    <t xml:space="preserve">Acquisitions/Startegic Investments </t>
  </si>
  <si>
    <t>Other Disclosed Uses</t>
  </si>
  <si>
    <t>CAPEX CONTEXT</t>
  </si>
  <si>
    <t>FY 2025 Capex</t>
  </si>
  <si>
    <t>Capex as % of Revenue</t>
  </si>
  <si>
    <t>IPO Proceeds/FY 2025 Capex</t>
  </si>
  <si>
    <t>IPO Proceeds/FY 2026 Revenue</t>
  </si>
  <si>
    <t>Pro Forma Cash after IPO</t>
  </si>
  <si>
    <t>Net Cash/ Debt position after IPO</t>
  </si>
  <si>
    <t xml:space="preserve">USE OF PROCEEDS CONCLUSION </t>
  </si>
  <si>
    <t>Total capital raised before underwriting discounts, commissions, offering expenses, and any overallotment impact.</t>
  </si>
  <si>
    <t>Represents maximum gross proceeds if the overallotment option is exercised in full.</t>
  </si>
  <si>
    <t>Fees paid to underwriters for structuring, marketing, bookbuilding, and distributing the IPO.</t>
  </si>
  <si>
    <t>Issuer-paid legal, accounting, listing, filing, printing, and other transaction expenses.</t>
  </si>
  <si>
    <t>Cash proceeds available to the company after deducting underwriting fees and offering expenses.</t>
  </si>
  <si>
    <t>Cash raised by issuing new shares, directly strengthening the company’s balance sheet.</t>
  </si>
  <si>
    <t>Proceeds received by existing shareholders if they sold shares in the IPO.</t>
  </si>
  <si>
    <t>Use-of-proceeds category for launch-system development, manufacturing scale-up, and infrastructure expansion if specifically disclosed.</t>
  </si>
  <si>
    <t>Use-of-proceeds category for satellite deployment, network expansion, ground infrastructure, and related constellation investment if specifically disclosed.</t>
  </si>
  <si>
    <t>Use-of-proceeds category for AI, compute, data-center, or related infrastructure investment if specifically disclosed.</t>
  </si>
  <si>
    <t>Broad use category that gives management flexibility over capital deployment.</t>
  </si>
  <si>
    <t>Funding available for near-term operating needs, inventory, receivables, and business expansion.</t>
  </si>
  <si>
    <t>Indicates whether IPO proceeds were used to reduce leverage or refinance existing obligations.</t>
  </si>
  <si>
    <t>Indicates whether proceeds may fund external growth, partnerships, or strategic investments.</t>
  </si>
  <si>
    <t>Captures any additional use-of-proceeds language not covered by the main categories.</t>
  </si>
  <si>
    <t>Historical capital spending baseline used to assess the scale of the IPO proceeds.</t>
  </si>
  <si>
    <t>Revenue base used to contextualize the size of the offering relative to the business.</t>
  </si>
  <si>
    <t>Measures capital intensity and indicates how much revenue is reinvested into infrastructure and growth.</t>
  </si>
  <si>
    <t>Shows how many years of FY2025-level capital spending the IPO could theoretically fund.</t>
  </si>
  <si>
    <t>Shows the scale of IPO proceeds relative to the company’s annual revenue base.</t>
  </si>
  <si>
    <t>Cash balance after giving effect to the offering, before future deployment.</t>
  </si>
  <si>
    <t>Indicates whether the company has net cash or net debt after the IPO capitalization.</t>
  </si>
  <si>
    <t>The IPO proceeds materially strengthened SpaceX’s balance sheet and provided substantial funding capacity for capex-intensive growth initiatives. Given FY2025 capex intensity, the offering appears designed less as a liquidity event and more as a strategic capitalization event to support long-duration infrastructure investment, including areas such as launch capacity, satellite deployment, AI / compute infrastructure, and general corporate purposes.</t>
  </si>
  <si>
    <t>Risk Category</t>
  </si>
  <si>
    <t>Risk Factor</t>
  </si>
  <si>
    <t>Severity</t>
  </si>
  <si>
    <t>Regulatory</t>
  </si>
  <si>
    <t>Governance</t>
  </si>
  <si>
    <t>Competitive Landscape</t>
  </si>
  <si>
    <t>Market Perception</t>
  </si>
  <si>
    <t>Valuation</t>
  </si>
  <si>
    <t>SpaceX IPO Risk Factors</t>
  </si>
  <si>
    <t>Prospectus / Filing Summary</t>
  </si>
  <si>
    <t>Evidence / Metric</t>
  </si>
  <si>
    <t>Market Discounted?</t>
  </si>
  <si>
    <t>Mitigant / Equity Story</t>
  </si>
  <si>
    <t>CORE PROSPECTUS RISK FACTORS</t>
  </si>
  <si>
    <t>MARKET DISCOUNT / EQUITY STORY</t>
  </si>
  <si>
    <t>RISK FACTOR CONCLUSION</t>
  </si>
  <si>
    <t>Commercial / Customer</t>
  </si>
  <si>
    <t>Customer concentration</t>
  </si>
  <si>
    <t>Revenue may depend on a concentrated set of government, commercial, and strategic customers.</t>
  </si>
  <si>
    <t>N/D unless exact customer concentration is disclosed.</t>
  </si>
  <si>
    <t>Partially</t>
  </si>
  <si>
    <t>Mission-critical services and government-linked demand support revenue durability.</t>
  </si>
  <si>
    <t>424B4 / Prospectus</t>
  </si>
  <si>
    <t>Regulatory approval / launch licensing</t>
  </si>
  <si>
    <t>Launch operations depend on regulatory approvals, licenses, safety reviews, and ongoing compliance.</t>
  </si>
  <si>
    <t>FAA / FCC / government approvals required for launch and satellite operations.</t>
  </si>
  <si>
    <t>Regulatory delays can directly constrain launch cadence and revenue conversion.</t>
  </si>
  <si>
    <t>Operations / Execution</t>
  </si>
  <si>
    <t>Launch cadence and execution risk</t>
  </si>
  <si>
    <t>Business performance depends on maintaining high launch reliability, cadence, and operational execution.</t>
  </si>
  <si>
    <t>N/D unless exact launch cadence is disclosed.</t>
  </si>
  <si>
    <t>Proven launch track record supports investor confidence in execution.</t>
  </si>
  <si>
    <t>Execution risk is central because valuation assumes continued scale and reliability.</t>
  </si>
  <si>
    <t>Technology / Development</t>
  </si>
  <si>
    <t>Future growth may depend on successful development, testing, certification, and commercialization of Starship.</t>
  </si>
  <si>
    <t>N/D unless specific Starship milestones are disclosed.</t>
  </si>
  <si>
    <t>No</t>
  </si>
  <si>
    <t>Successful Starship execution could materially expand launch capacity and lower cost per mission.</t>
  </si>
  <si>
    <t>High-upside but high-risk development program embedded in the equity story.</t>
  </si>
  <si>
    <t>Operations / Capex</t>
  </si>
  <si>
    <t>Starlink constellation deployment risk</t>
  </si>
  <si>
    <t>Starlink growth depends on satellite deployment, network capacity, ground infrastructure, and customer adoption.</t>
  </si>
  <si>
    <t>N/D unless exact deployment metrics are disclosed.</t>
  </si>
  <si>
    <t>Recurring revenue profile and global broadband demand support the Starlink growth narrative.</t>
  </si>
  <si>
    <t>Starlink execution is a major driver of the company’s growth multiple.</t>
  </si>
  <si>
    <t>Regulatory / Space</t>
  </si>
  <si>
    <t>Spectrum, satellite, and orbital debris regulation</t>
  </si>
  <si>
    <t>FCC / international satellite and spectrum regulation.</t>
  </si>
  <si>
    <t>Existing operating scale and regulatory experience help mitigate compliance risk.</t>
  </si>
  <si>
    <t>Regulation can affect deployment pace, service quality, and expansion into new markets.</t>
  </si>
  <si>
    <t>Financial / Capex</t>
  </si>
  <si>
    <t>Capex intensity and cash burn</t>
  </si>
  <si>
    <t>Growth strategy requires substantial ongoing investment in launch systems, satellites, infrastructure, and compute capacity.</t>
  </si>
  <si>
    <t>IPO proceeds materially increase funding capacity for long-duration growth investment.</t>
  </si>
  <si>
    <t>Formula / Workbook</t>
  </si>
  <si>
    <t>Capex intensity is a core risk because valuation depends on funding large infrastructure programs.</t>
  </si>
  <si>
    <t>Financial / Profitability</t>
  </si>
  <si>
    <t>Losses / profitability risk</t>
  </si>
  <si>
    <t>The company may continue to incur losses due to growth investment, R&amp;D, capex, and operating scale-up costs.</t>
  </si>
  <si>
    <t>Investors may accept near-term losses if revenue growth and long-term margin potential remain strong.</t>
  </si>
  <si>
    <t>424B4 / Prospectus / Formula / Workbook</t>
  </si>
  <si>
    <t>Profitability risk matters because public-market valuation must eventually be supported by earnings power.</t>
  </si>
  <si>
    <t>Technology / AI</t>
  </si>
  <si>
    <t>AI / compute infrastructure investment risk</t>
  </si>
  <si>
    <t>Investment in AI, compute, and related infrastructure may increase losses and execution complexity.</t>
  </si>
  <si>
    <t>N/D unless exact AI / compute spending is disclosed.</t>
  </si>
  <si>
    <t>AI and compute infrastructure may create strategic optionality if deployed effectively.</t>
  </si>
  <si>
    <t>Key Person / Governance</t>
  </si>
  <si>
    <t>Musk key-person risk</t>
  </si>
  <si>
    <t>Company strategy, investor perception, and execution may be materially influenced by Elon Musk.</t>
  </si>
  <si>
    <t>N/D unless exact key-person disclosure is available.</t>
  </si>
  <si>
    <t>Founder-led narrative supports premium valuation but creates governance and succession risk.</t>
  </si>
  <si>
    <t>Key-person risk is especially relevant given the founder’s influence across strategy and market perception.</t>
  </si>
  <si>
    <t>Founder control / governance risk</t>
  </si>
  <si>
    <t>Voting structure may limit public shareholder influence over major corporate decisions.</t>
  </si>
  <si>
    <t>Yes</t>
  </si>
  <si>
    <t>Investors accepted governance limitations in exchange for founder-led growth exposure.</t>
  </si>
  <si>
    <t>Governance risk is structurally important but common in founder-controlled growth IPOs.</t>
  </si>
  <si>
    <t>Supply Chain / Manufacturing</t>
  </si>
  <si>
    <t>Supply chain and manufacturing risk</t>
  </si>
  <si>
    <t>Operations depend on complex manufacturing, specialized components, suppliers, and production scaling.</t>
  </si>
  <si>
    <t>N/D unless exact supplier concentration is disclosed.</t>
  </si>
  <si>
    <t>Supply constraints could affect launch cadence, satellite deployment, and cost structure.</t>
  </si>
  <si>
    <t>Competition in launch, satellite broadband, and defense / aerospace markets</t>
  </si>
  <si>
    <t>The company competes with satellite operators, telecom providers, aerospace primes, and launch competitors.</t>
  </si>
  <si>
    <t>N/D unless market-share data is disclosed.</t>
  </si>
  <si>
    <t>Scale, brand, launch economics, and integrated ecosystem support competitive differentiation.</t>
  </si>
  <si>
    <t>Competition matters, but investors may underwrite SpaceX as a category leader.</t>
  </si>
  <si>
    <t>Risks market appeared to discount</t>
  </si>
  <si>
    <t>Strong first-day trading suggests investors were willing to absorb major execution, governance, and capex risks.</t>
  </si>
  <si>
    <t>Demand strength indicated confidence in long-term growth and strategic scarcity value.</t>
  </si>
  <si>
    <t>Market Data / Formula / Workbook</t>
  </si>
  <si>
    <t>Aftermarket performance suggests risk appetite remained strong despite prospectus disclosures.</t>
  </si>
  <si>
    <t>Risks market may be underpricing</t>
  </si>
  <si>
    <t>Market may be underpricing development, regulatory, capex, and key-person risks relative to the valuation premium.</t>
  </si>
  <si>
    <t>Premium valuation reflects scarcity, growth optionality, and strategic importance.</t>
  </si>
  <si>
    <t>Model Judgment / Formula / Workbook</t>
  </si>
  <si>
    <t>Risks most relevant to valuation multiple</t>
  </si>
  <si>
    <t>These risks directly affect whether SpaceX can justify a premium public-market multiple.</t>
  </si>
  <si>
    <t>IPO Structure / Governance</t>
  </si>
  <si>
    <t>Risks most relevant to IPO structure</t>
  </si>
  <si>
    <t>Founder control, limited float, lock-up restrictions, allocation dynamics, and governance rights shaped the IPO structure.</t>
  </si>
  <si>
    <t>Scarce float and strong demand may have supported aftermarket performance.</t>
  </si>
  <si>
    <t>Structure risk matters because public investors may have limited control and limited initial float.</t>
  </si>
  <si>
    <t>Equity Story</t>
  </si>
  <si>
    <t>Key mitigants supporting investor demand</t>
  </si>
  <si>
    <t>Investor demand was supported by leadership in launch, Starlink growth, strategic importance, and long-term optionality.</t>
  </si>
  <si>
    <t>Scarcity value, category leadership, and growth optionality helped offset disclosed risks.</t>
  </si>
  <si>
    <t>Market Data / Model Judgment / Formula / Workbook</t>
  </si>
  <si>
    <t>Large contract losses could materially affect revenue visibility.</t>
  </si>
  <si>
    <t>Operating history and strategic national importance reduce perceived approval risk.</t>
  </si>
  <si>
    <t>Satellite operations are subject to spectrum rights, orbital constraints, debris mitigation, and international regulation.</t>
  </si>
  <si>
    <t>Frame this as optionality with uncertain near-term return on invested capital.</t>
  </si>
  <si>
    <t>Vertical integration may reduce supplier dependence and improve execution control.</t>
  </si>
  <si>
    <t>Judgment-based row; do not overstate certainty.</t>
  </si>
  <si>
    <t>Capex intensity, Starlink growth, Starship execution, profitability, and launch cadence are most relevant to sustaining valuation.</t>
  </si>
  <si>
    <t>Investors appear to value long-term platform potential rather than near-term earnings alone.</t>
  </si>
  <si>
    <t>Summarizes why the market accepted the risk profile.</t>
  </si>
  <si>
    <t>SpaceX’s risk profile is high but consistent with a founder-led, infrastructure-heavy, category-defining growth IPO. The most important valuation risks are capex intensity, Starlink and Starship execution, regulatory approvals, profitability, and key-person / governance risk. Strong demand and first-day aftermarket performance suggest investors discounted many of these risks, but the valuation remains highly sensitive to execution and capital intensity.</t>
  </si>
  <si>
    <t>Starship Development Risk</t>
  </si>
  <si>
    <t>Source ID</t>
  </si>
  <si>
    <t>Source Name</t>
  </si>
  <si>
    <t>Source Type</t>
  </si>
  <si>
    <t>Used For</t>
  </si>
  <si>
    <t>Workbook Tabs Supported</t>
  </si>
  <si>
    <t>Reliability</t>
  </si>
  <si>
    <t>Date / Period</t>
  </si>
  <si>
    <t>S-01</t>
  </si>
  <si>
    <t>SpaceX 424B4 / Final Prospectus</t>
  </si>
  <si>
    <t>SEC Filing</t>
  </si>
  <si>
    <t>IPO terms, risk factors, governance, use of proceeds, financials</t>
  </si>
  <si>
    <t>Deal Fact Sheet; Deal Structure; Use Of Proceeds; Risk Factors</t>
  </si>
  <si>
    <t>Final IPO filing</t>
  </si>
  <si>
    <t>Primary source for disclosed IPO structure, legal terms, risk factors, and financial data.</t>
  </si>
  <si>
    <t>S-02</t>
  </si>
  <si>
    <t>SpaceX S-1 / Amended S-1</t>
  </si>
  <si>
    <t>Business description, historical financials, segment context, operating risks</t>
  </si>
  <si>
    <t>Deal Fact Sheet; Segment SOTP; DCF Scenario; Risk Factors</t>
  </si>
  <si>
    <t>IPO registration process</t>
  </si>
  <si>
    <t>Used for company background, operating model, historical disclosure, and prospectus language.</t>
  </si>
  <si>
    <t>S-03</t>
  </si>
  <si>
    <t>IPO Pricing Announcement</t>
  </si>
  <si>
    <t>Company / Underwriter Release</t>
  </si>
  <si>
    <t>IPO offer price, shares offered, gross proceeds, pricing date</t>
  </si>
  <si>
    <t>Deal Fact Sheet; Deal Structure; Use Of Proceeds</t>
  </si>
  <si>
    <t>IPO pricing date</t>
  </si>
  <si>
    <t>Confirms final transaction size and pricing terms.</t>
  </si>
  <si>
    <t>S-04</t>
  </si>
  <si>
    <t>Aftermarket Trading Data</t>
  </si>
  <si>
    <t>Opening price, Day-1 close, Day-1 pop, trading performance</t>
  </si>
  <si>
    <t>Aftermarket Trading; Deal Structure; Risk Factors</t>
  </si>
  <si>
    <t>First trading day and early aftermarket period</t>
  </si>
  <si>
    <t>Used to evaluate IPO pricing, investor demand, and money left on the table.</t>
  </si>
  <si>
    <t>S-05</t>
  </si>
  <si>
    <t>Private Market Database</t>
  </si>
  <si>
    <t>Funding history, private valuation, investor history, comps support</t>
  </si>
  <si>
    <t>Funding History; Trading Comps; Valuation Bridge</t>
  </si>
  <si>
    <t>Medium</t>
  </si>
  <si>
    <t>Latest available database pull</t>
  </si>
  <si>
    <t>Useful for private-market context but not the primary source for final IPO legal terms.</t>
  </si>
  <si>
    <t>S-06</t>
  </si>
  <si>
    <t>Public Company Filings</t>
  </si>
  <si>
    <t>SEC Filings / Public Disclosures</t>
  </si>
  <si>
    <t>Comparable company revenue, EBITDA, growth, leverage, and valuation context</t>
  </si>
  <si>
    <t>Trading Comps; Valuation Summary</t>
  </si>
  <si>
    <t>Latest available filings</t>
  </si>
  <si>
    <t>Used to support trading comps and public-market valuation benchmarking.</t>
  </si>
  <si>
    <t>S-07</t>
  </si>
  <si>
    <t>Company / Investor Materials</t>
  </si>
  <si>
    <t>Company Materials</t>
  </si>
  <si>
    <t>Segment context, business model, growth drivers, strategic positioning</t>
  </si>
  <si>
    <t>Company Overview; Segment SOTP; DCF Scenario</t>
  </si>
  <si>
    <t>Latest available materials</t>
  </si>
  <si>
    <t>Used for qualitative business context and equity story framing.</t>
  </si>
  <si>
    <t>S-08</t>
  </si>
  <si>
    <t>Internal Analysis</t>
  </si>
  <si>
    <t>Risk severity, market discount assessment, valuation interpretation, IPO pricing view</t>
  </si>
  <si>
    <t>Risk Factors; Valuation Summary; Deal Structure</t>
  </si>
  <si>
    <t>Current model analysis</t>
  </si>
  <si>
    <t>Represents analytical judgment based on disclosed filings, market data, and workbook outputs.</t>
  </si>
  <si>
    <t xml:space="preserve">SpaceX IPO Analysis Sources </t>
  </si>
  <si>
    <t>{"123":{"M|^46488-07Close Price06/12/202606/12/2026dasc0USD":{"r":[[160.95]],"c":[[]],"a":["'123'!C5"]},"M|^46488-07Close Price06/17/202606/17/2026dasc0USD":{"r":[[191.82]],"c":[[]],"a":["'123'!C8"]},"M|^46488-07Close Price06/16/202606/16/2026dasc0USD":{"r":[[201.8]],"c":[[]],"a":["'123'!C7"]},"M|^46488-07Close Price06/22/202606/22/2026dasc0USD":{"r":[[154.6]],"c":[[]],"a":["'123'!C11"]},"M|^46488-07Close Price06/18/202606/18/2026dasc0USD":{"r":[[185]],"c":[[]],"a":["'123'!C9"]},"M|^46488-07Close Price06/19/202606/19/2026dasc0USD":{"r":[[185]],"c":[[]],"a":["'123'!C10"]},"M|^46488-07Close Price06/23/202606/23/2026dasc0USD":{"r":[[154.6]],"c":[[]],"a":["'123'!C12"]},"M|^46488-07Close Price06/15/202606/15/2026dasc0USD":{"r":[[192.5]],"c":[[]],"a":["'123'!C6"]}},"Company Overview":{"A|^NAS:SPCXPost Valuation CountUSD":{"id":4,"description":null,"headerValues":[],"financialValues":[],"customValues":[],"error":"PBXLP_MISSING_SEARCH"},"D|^/1000000NAS:SPCXDeal Post ValuationUSD":{"id":6,"description":null,"headerValues":[{"simpleDate":null,"value":"PBXLP_WRONG_INPUT","description":null}],"financialValues":[],"customValues":[],"error":null},"D|^/1000NAS:SPCXDeal Post ValuationUSD":{"id":7,"description":null,"headerValues":[{"simpleDate":null,"value":"PBXLP_WRONG_INPUT","description":null}],"financialValues":[],"customValues":[],"error":null},"D|^v/1000NAS:SPCXDeal Post ValuationUSD":{"id":8,"description":null,"headerValues":[{"simpleDate":null,"value":"PBXLP_WRONG_INPUT","description":null}],"financialValues":[],"customValues":[],"error":null},"D|^NAS:SPCXMost Recent Post ValuationUSD":{"r":[[1776491798580]],"a":["'Company Overview'!C6"]},"D|^/1000NAS:SPCXMost Recent Post ValuationUSD":{"r":[[1776491798.58]],"a":["'Company Overview'!C6"]},"D|^/1000NASSPSPCXMost Recent Post ValuationUSD":{"id":11,"description":null,"headerValues":[],"financialValues":[],"customValues":[],"error":"PBXLP_ENTITY_ID"},"A|^SpaceXPost Valuation CountUSD":{"id":12,"description":null,"headerValues":[],"financialValues":[],"customValues":[],"error":"PBXLP_MISSING_SEARCH"},"MATCHSYMBOL|^SpaceX":{"r":[["NAS:SPCX"]]},"D|^NAS:SPCXDeal Post ValuationUSD":{"id":22,"description":null,"headerValues":[{"simpleDate":null,"value":"PBXLP_WRONG_INPUT","description":null}],"financialValues":[],"customValues":[],"error":null},"D|^/1000000000NAS:SPCXDeal Post ValuationUSD":{"id":25,"description":null,"headerValues":[{"simpleDate":null,"value":"PBXLP_WRONG_INPUT","description":null}],"financialValues":[],"customValues":[],"error":null}},"Deal Fact Sheet":{"M|^/100000046488-07Market Cap06/21/202606/21/2026dasc0USD":{"r":[[2437224.65013]],"c":[[]],"a":["'Deal Fact Sheet'!C56","'Deal Fact Sheet'!C57","'Deal Fact Sheet'!C58","'Deal Fact Sheet'!C59","'Deal Fact Sheet'!C60","'Deal Fact Sheet'!C62","'Deal Fact Sheet'!C63"]},"M|^46488-07Close Price06/21/202606/21/2026dasc0USD":{"r":[[185]],"c":[[]],"a":["'Deal Fact Sheet'!C55","'Deal Fact Sheet'!C56","'Deal Fact Sheet'!C57","'Deal Fact Sheet'!C58","'Deal Fact Sheet'!C59","'Deal Fact Sheet'!C61","'Deal Fact Sheet'!C62"]},"M|^/100000046488-07EV06/21/202606/21/2026dasc0USD":{"id":19,"description":null,"headerValues":[],"financialValues":[],"customValues":[],"error":null},"D|^/100000046488-07Total RevenueUSD":{"id":2,"description":null,"headerValues":[{"simpleDate":null,"value":"PBXLP_WRONG_INPUT","description":null}],"financialValues":[],"customValues":[],"error":null},"D|^/100000046488-07EBITDAUSD":{"id":3,"description":null,"headerValues":[{"simpleDate":null,"value":"PBXLP_WRONG_INPUT","description":null}],"financialValues":[],"customValues":[],"error":null},"F|^46488-07EBITDA (Normalized)TTM06/21/2026USDr":{"r":[[5981000000]],"c":null,"a":["'Deal Fact Sheet'!C59"]},"F|^46488-07EBITDA (Analyst Normalized)TTM06/21/2026USDt":{"r":[[1288000000]],"c":null,"a":["'Deal Fact Sheet'!C59"]},"D|^/100000046488-07Most Recent Post ValuationUSD":{"r":[[1776491.79858]],"a":["'Deal Fact Sheet'!C60","'Deal Fact Sheet'!C61","'Deal Fact Sheet'!C62","'Deal Fact Sheet'!C63","'Deal Fact Sheet'!C64","'Deal Fact Sheet'!C66","'Deal Fact Sheet'!C67"]},"M|^/100000046488-07EV06/21/202606/21/2026ddesc0USD":{"id":11,"description":null,"headerValues":[],"financialValues":[],"customValues":[],"error":null},"S|^/100000046488-07Business UnitsBusiness Revenue2025Y2026YascUSD":{"r":[["Business Revenue","2025"],["Artificial intelligence (AI)",3201],["Space",4086],["Connectivity",11387],["SegmentTotal",18674]]},"D|^/100000046488-07Last Known Valuation Deal TypeUSD":{"r":[["IPO"]],"a":["'Deal Fact Sheet'!C60"]},"D|^/100000046488-07Deal Post ValuationUSD":{"id":18,"description":null,"headerValues":[{"simpleDate":null,"value":"PBXLP_WRONG_INPUT","description":null}],"financialValues":[],"customValues":[],"error":null},"D|^/100000046488-07Most Recent Financing Status NoteUSD":{"r":[["The company raised $86.25 billion in its initial public offering on the Nasdaq Stock Exchange under the ticker symbol of SPCX on June 12, 2026. A total of 638,888,888 class A shares (including the over-allotment option) were sold at a price of $135 per share. After the offering, there was a total of 13,159,198,508 outstanding shares (including the over-allotment option) priced at $135 per share, valuing the company at $1.78 trillion. The underwriters were granted an option to purchase up to an additional 83,333,333 class A shares from the company to cover over-allotments, if any. The over-allotment options were exercised in full by the underwriters. Previously, the company completed a $20 billion debt refinancing round on March 2, 2026. The funds will be used to refinance existing debt ahead of a potential U.S. Initial public offering, according to sources familiar with the matter."]],"a":["'Deal Fact Sheet'!C61"]},"F|^46488-07Total RevenueTTM06/21/2026USDt":{"r":[[19301000000]],"c":null,"a":["'Deal Fact Sheet'!C58"]},"D|^/1000000318885-76TCLO NameUSD":{"id":29,"description":null,"headerValues":[],"financialValues":[],"customValues":[],"error":"PBXLP_WRONG_INPUT"},"D|^/1000000318885-76TMost Recent Deal IdUSD":{"id":30,"description":null,"headerValues":[{"simpleDate":null,"value":"PBXLP_WRONG_INPUT","description":null}],"financialValues":[],"customValues":[],"error":null},"D|^/1000000318885-76TDeal AmountUSD":{"id":32,"description":null,"headerValues":[{"simpleDate":null,"value":"","description":null}],"financialValues":[],"customValues":[],"error":null},"D|^/100000046488-07Revenue % GrowthUSD":{"id":35,"description":null,"headerValues":[{"simpleDate":null,"value":"PBXLP_WRONG_INPUT","description":null}],"financialValues":[],"customValues":[],"error":null},"F|^46488-07Revenue % GrowthTTM06/21/2026USDr":{"id":36,"description":null,"headerValues":[],"financialValues":[],"customValues":[],"error":null},"F|^46488-07Revenue % GrowthFQ+106/21/2026USDr":{"id":37,"description":null,"headerValues":[],"financialValues":[],"customValues":[],"error":null},"D|^/1000000318885-76TPost ValuationUSD":{"id":38,"description":null,"headerValues":[],"financialValues":[],"customValues":[],"error":"PBXLP_FIELD"},"D|^/100000046488-07Post ValuationUSD":{"id":39,"description":null,"headerValues":[],"financialValues":[],"customValues":[],"error":"PBXLP_FIELD"},"D|^/100000046488-07Deal AmountUSD":{"id":43,"description":null,"headerValues":[{"simpleDate":null,"value":"PBXLP_WRONG_INPUT","description":null}],"financialValues":[],"customValues":[],"error":null},"A|^318885-76TDeal Size CountUSD":{"id":44,"description":null,"headerValues":[],"financialValues":[],"customValues":[],"error":"PBXLP_MISSING_SEARCH"},"D|^/1000318885-76TDeal Financing StatusUSD":{"r":[["Venture Capital-Backed"]],"a":["'Deal Fact Sheet'!C62"]},"D|^/1000000318885-76TDeal Pre ValuationUSD":{"id":54,"description":null,"headerValues":[{"simpleDate":null,"value":"","description":null}],"financialValues":[],"customValues":[],"error":null},"D|^/1000000000318885-76TDeal AmountUSD":{"id":55,"description":null,"headerValues":[{"simpleDate":null,"value":"","description":null}],"financialValues":[],"customValues":[],"error":null},"D|^46488-07Total RevenueUSD":{"id":7,"description":null,"headerValues":[{"simpleDate":null,"value":"PBXLP_WRONG_INPUT","description":null}],"financialValues":[],"customValues":[],"error":null},"F|^46488-07EBIT/RevenueFQ2025YUSD":{"id":2,"description":null,"headerValues":[],"financialValues":[],"customValues":[],"error":null},"F|^46488-07EBIT/RevenueFQ06/22/2026USDr":{"r":[[-0.8135918193438432]],"c":null,"a":["'Deal Fact Sheet'!C25"]},"F|^46488-07EBIT/RevenueTTM06/22/2026USDr":{"r":[[-0.33164084762447543]],"c":null,"a":["'Deal Fact Sheet'!C25"]},"F|^46488-07EBIT/RevenueFY2025YUSD":{"r":[[-0.14812038127878333]],"c":null,"a":["'Deal Fact Sheet'!C25"]},"F|^46488-07EBIT/RevenueFY2026YUSD":{"id":7,"description":null,"headerValues":[],"financialValues":[],"customValues":[],"error":null},"F|^46488-07EBIT/RevenueFY2025YrUSD":{"r":[[-0.14812038127878333]],"c":null,"a":["'Deal Fact Sheet'!C25"]},"F|^46488-07Total RevenueFY2025YUSD":{"r":[[18674000000]],"c":null,"a":["'Deal Fact Sheet'!C25"]},"F|^46488-07Revenue % GrowthFY2025YUSD":{"r":[[0.3324295397788084]],"c":null,"a":["'Deal Fact Sheet'!C26"]},"F|^46488-07Revenue % GrowthFQ2025Q1USD":{"id":13,"description":null,"headerValues":[],"financialValues":[],"customValues":[],"error":null},"F|^46488-07Revenue % GrowthFY2025Q1USD":{"id":14,"description":null,"headerValues":[],"financialValues":[],"customValues":[],"error":null},"F|^46488-07Total RevenueFQ2025Q1USD":{"r":[[4067000000]],"c":null,"a":["'Deal Fact Sheet'!C27"]},"F|^46488-07Total RevenueFQ2026Q1USD":{"r":[[4694000000]],"c":null,"a":["'Deal Fact Sheet'!C27"]},"F|^46488-07Revenue % GrowthFQ2026Q1USD":{"r":[[0.15416769117285467]],"c":null,"a":["'Deal Fact Sheet'!C28"]},"F|^46488-07EBITDAFY2025YUSD":{"r":[[3935000000]],"c":null,"a":["'Deal Fact Sheet'!C29"]},"F|^46488-07EBITDA (Analyst Normalized)FY2026YUSD":{"id":3,"description":null,"headerValues":[],"financialValues":[],"customValues":[],"error":null},"F|^46488-07EBITDA (Analyst Normalized)FY2025YUSD":{"r":[[3963000000]],"c":null,"a":["'Deal Fact Sheet'!C29"]},"F|^46488-07EBITDA (Normalized)FY2025YUSD":{"r":[[6584000000]],"c":null,"a":["'Deal Fact Sheet'!C29"]},"F|^46488-07EBITDA (Normalized)TTM2025YUSD":{"r":[[6584000000]],"c":null,"a":["'Deal Fact Sheet'!C30"]},"F|^46488-07Net Income (Normalized)FY2025YUSD":{"r":[[-3356600000]],"c":null,"a":["'Deal Fact Sheet'!C30"]},"F|^46488-07Capital Expenditure (Calc)FY2025YUSD":{"r":[[20906000000]],"c":null,"a":["'Deal Fact Sheet'!C31"]},"F|^46488-07Capital Expenditure (Calc)FY2026YUSD":{"id":9,"description":null,"headerValues":[],"financialValues":[],"customValues":[],"error":null},"F|^46488-07Cash and Cash EquivalentsFY2025YUSD":{"r":[[24747000000]],"c":null,"a":["'Deal Fact Sheet'!C32"]},"F|^46488-07DebtFY2025YUSD":{"id":3,"description":null,"headerValues":[],"financialValues":[],"customValues":[],"error":null},"F|^46488-07DebtFY2026YUSD":{"id":4,"description":null,"headerValues":[],"financialValues":[],"customValues":[],"error":null},"M|^identifierEV to EBITDA01/01/202606/22/2026dasc0USD":{"id":6,"description":null,"headerValues":[],"financialValues":[],"customValues":[],"error":"PBXLP_ENTITY_ID"},"M|^46488-07EV to EBITDA01/01/202606/22/2026dasc0USD":{"r":[[1632.7559243010007],[1963.054699665127],[2057.3733616135487],[1956.1582813718244],[1886.9912626096998]],"c":[[]],"a":["'Deal Fact Sheet'!C46"]},"M|^46488-07EV to Revenue01/01/202606/22/2026dasc0USD":{"r":[[109.88808588503187],[132.11792419382417],[138.46577880607222],[131.6537799855966],[126.99868660328481]],"c":[[]],"a":["'Deal Fact Sheet'!C45"]},"M|^46488-07EV to Revenue01/01/202512/31/2025qasc0USD":{"id":13,"description":null,"headerValues":[],"financialValues":[],"customValues":[],"error":null},"M|^46488-07Close Price06/12/202606/12/2026dasc1USD":{"r":[[46185,160.95]],"c":[["dd-mmm-yy"]],"a":["'Deal Fact Sheet'!C47"]},"S|^46488-07Business UnitsNet Income2025Y2026YascUSD1":{"id":27,"description":null,"headerValues":[],"financialValues":[],"customValues":[],"error":null},"S|^/100000046488-07Business UnitsNet Income2025Y2026YascUSD1":{"id":28,"description":null,"headerValues":[],"financialValues":[],"customValues":[],"error":null},"F|^46488-07Net Income (Normalized)TTM2025YUSD":{"r":[[-3356600000]],"c":null,"a":["'Deal Fact Sheet'!C30"]},"M|^46488-07Close Price06/12/202606/12/2026dasc0USD":{"r":[[160.95]],"c":[[]],"a":["'Deal Fact Sheet'!C48","'Deal Fact Sheet'!C47","'Deal Fact Sheet'!C49","'Deal Fact Sheet'!C50","'Deal Fact Sheet'!C51","'Deal Fact Sheet'!C53","'Deal Fact Sheet'!C54"]},"M|^/100000046488-07EV06/12/202606/12/2026dasc0USD":{"r":[[2120949.945667]],"c":[[]],"a":["'Deal Fact Sheet'!C49"]},"M|^46488-07EV to Revenue06/12/202606/12/2026dasc0USD":{"r":[[109.88808588503187]],"c":[[]],"a":["'Deal Fact Sheet'!C45"]},"M|^46488-07EV to EBITDA06/12/202606/12/2026dasc0USD":{"r":[[1632.7559243010007]],"c":[[]],"a":["'Deal Fact Sheet'!C46"]},"M|^identifierEV to Revenue06/13/202606/13/2026dasc0USD":{"id":7,"description":null,"headerValues":[],"financialValues":[],"customValues":[],"error":"PBXLP_ENTITY_ID"},"M|^identifierEV to Revenue06/15/202606/15/2026dasc0USD":{"id":8,"description":null,"headerValues":[],"financialValues":[],"customValues":[],"error":"PBXLP_ENTITY_ID"},"M|^46488-07EV to Revenue06/15/202606/15/2026dasc0USD":{"r":[[132.11792419382417]],"c":[[]],"a":["'Deal Fact Sheet'!C50"]},"D|^/1000000321325-57TDeal AmountUSD":{"id":52,"description":null,"headerValues":[{"simpleDate":null,"value":"","description":null}],"financialValues":[],"customValues":[],"error":null},"D|^/1000000330349-42TDeal AmountUSD":{"r":[[20000]],"a":["'Deal Fact Sheet'!C61"]},"F|^46488-07Cash and Cash EquivalentsTTM06/24/2026USDt":{"r":[[15852000000]],"c":null,"a":["'Deal Fact Sheet'!C42"]},"F|^46488-07DebtTTM06/24/2026USDt":{"id":8,"description":null,"headerValues":[],"financialValues":[],"customValues":[],"error":null},"F|^46488-07DebtFQ03/31/2026USDt":{"id":9,"description":null,"headerValues":[],"financialValues":[],"customValues":[],"error":null},"F|^46488-07DebtTTM03/31/2026USDt":{"id":13,"description":null,"headerValues":[],"financialValues":[],"customValues":[],"error":null},"M|^/100000046488-07EV06/21/202606/24/2026ddesc0USD":{"r":[[2070599.379091],[2050706.356271]],"c":[[]],"a":["'Deal Fact Sheet'!C57"]},"M|^46488-07EV06/24/202606/24/2026dasc0USD":{"id":7,"description":null,"headerValues":[],"financialValues":[],"customValues":[],"error":null},"M|^46488-07EV03/31/202603/31/2026dasc0USD":{"id":8,"description":null,"headerValues":[],"financialValues":[],"customValues":[],"error":null},"F|^46488-07Capital Expenditure, ReportedTTM06/24/2026USDt":{"r":[[-176000000]],"c":null,"a":["'Deal Fact Sheet'!C31"]},"F|^46488-07Capital Expenditure, ReportedFY06/24/2026USDt":{"r":[[-169000000]],"c":null,"a":["'Deal Fact Sheet'!C31"]},"F|^46488-07Capital Expenditure (Calc)TTM06/24/2026USDt":{"r":[[26880000000]],"c":null,"a":["'Deal Fact Sheet'!C31"]},"F|^46488-07Capital Expenditure (Calc)FY06/24/2026USDt":{"r":[[20906000000]],"c":null,"a":["'Deal Fact Sheet'!C31"]},"F|^46488-07Capital Expenditure (Calc)FY03/31/2026USDt":{"r":[[20906000000]],"c":null,"a":["'Deal Fact Sheet'!C31"]}},"Valuation Bridge ":{"D|^/1000000330349-42TDeal AmountUSD":{"r":[[20000]],"a":["'Valuation Bridge '!C5","'Valuation Bridge '!C61"]},"D|^/1000000000330349-42TDeal AmountUSD":{"r":[[20]],"a":["'Valuation Bridge '!C5"]},"D|^/1000000000318885-76TDeal AmountUSD":{"id":65,"description":null,"headerValues":[{"simpleDate":null,"value":"","description":null}],"financialValues":[],"customValues":[],"error":null}},"Trading Comps":{"M|^/1000000VSATMarket Cap06/23/202606/23/2026dasc0USD":{"r":[[8771.823851]],"c":[[]],"a":["'Trading Comps'!D5"]},"M|^/1000000CHTRMarket Cap06/23/202606/23/2026dasc0USD":{"r":[[15439.478775]],"c":[[]],"a":["'Trading Comps'!D11"]},"M|^/1000000IRDMMarket Cap06/23/202606/23/2026dasc0USD":{"r":[[4578.011315]],"c":[[]],"a":["'Trading Comps'!D7"]},"M|^/1000000ASTSMarket Cap06/23/202606/23/2026dasc0USD":{"r":[[21865.247772]],"c":[[]],"a":["'Trading Comps'!D9"]},"M|^/1000000GSATMarket Cap06/23/202606/23/2026dasc0USD":{"r":[[10278.644583]],"c":[[]],"a":["'Trading Comps'!D8"]},"M|^/1000000TMUSMarket Cap06/23/202606/23/2026dasc0USD":{"r":[[194861.781343]],"c":[[]],"a":["'Trading Comps'!D10"]},"M|^/1000000SATSMarket Cap06/23/202606/23/2026dasc0USD":{"r":[[30836.155123]],"c":[[]],"a":["'Trading Comps'!D6"]},"M|^/1000000VSATEV06/23/202606/23/2026dasc0USD":{"id":117,"description":null,"headerValues":[],"financialValues":[],"customValues":[],"error":null},"M|^/1000000IRDMEV06/23/202606/23/2026dasc0USD":{"id":118,"description":null,"headerValues":[],"financialValues":[],"customValues":[],"error":null},"M|^/1000000GSATEV06/23/202606/23/2026dasc0USD":{"id":119,"description":null,"headerValues":[],"financialValues":[],"customValues":[],"error":null},"M|^/1000000CHTREV06/23/202606/23/2026dasc0USD":{"id":120,"description":null,"headerValues":[],"financialValues":[],"customValues":[],"error":null},"M|^/1000000TMUSEV06/23/202606/23/2026dasc0USD":{"id":121,"description":null,"headerValues":[],"financialValues":[],"customValues":[],"error":null},"M|^/1000000ASTSEV06/23/202606/23/2026dasc0USD":{"id":122,"description":null,"headerValues":[],"financialValues":[],"customValues":[],"error":null},"M|^/1000000SATSEV06/23/202606/23/2026dasc0USD":{"id":123,"description":null,"headerValues":[],"financialValues":[],"customValues":[],"error":null},"F|^VSATEVTTM06/23/2026USDt":{"r":[[11720076166]],"c":null,"a":["'Trading Comps'!E5"]},"F|^ASTSEVTTM06/23/2026USDt":{"r":[[24705508422]],"c":null,"a":["'Trading Comps'!E9"]},"F|^GSATEVTTM06/23/2026USDt":{"r":[[8637443794]],"c":null,"a":["'Trading Comps'!E8"]},"F|^TMUSEVTTM06/23/2026USDt":{"r":[[348095231072]],"c":null,"a":["'Trading Comps'!E10"]},"F|^IRDMEVTTM06/23/2026USDt":{"r":[[4575525495]],"c":null,"a":["'Trading Comps'!E7"]},"F|^SATSEVTTM06/23/2026USDt":{"r":[[60998085813]],"c":null,"a":["'Trading Comps'!E6"]},"F|^CHTREVTTM06/23/2026USDt":{"r":[[128238010742]],"c":null,"a":["'Trading Comps'!E11"]},"D|^/1000000VSATTotal RevenueUSD":{"id":132,"description":null,"headerValues":[{"simpleDate":null,"value":"PBXLP_WRONG_INPUT","description":null}],"financialValues":[],"customValues":[],"error":null},"F|^VSATEBIT/RevenueTTM06/23/2026USDt":{"r":[[0.05585912919047988]],"c":null,"a":["'Trading Comps'!F5"]},"F|^VSATTotal RevenueTTM06/23/2026USDt":{"r":[[4640280000]],"c":null,"a":["'Trading Comps'!F5"]},"F|^ASTSTotal RevenueTTM06/23/2026USDt":{"r":[[84935000]],"c":null,"a":["'Trading Comps'!F9"]},"F|^GSATTotal RevenueTTM06/23/2026USDt":{"r":[[283018000]],"c":null,"a":["'Trading Comps'!F8"]},"F|^TMUSTotal RevenueTTM06/23/2026USDt":{"r":[[90530000000]],"c":null,"a":["'Trading Comps'!F10"]},"F|^IRDMTotal RevenueTTM06/23/2026USDt":{"r":[[875838000]],"c":null,"a":["'Trading Comps'!F7"]},"F|^SATSTotal RevenueTTM06/23/2026USDt":{"r":[[14802720000]],"c":null,"a":["'Trading Comps'!F6"]},"F|^CHTRTotal RevenueTTM06/23/2026USDt":{"r":[[54636000000]],"c":null,"a":["'Trading Comps'!F11"]},"D|^/1000000VSATEBITDAUSD":{"id":143,"description":null,"headerValues":[{"simpleDate":null,"value":"PBXLP_WRONG_INPUT","description":null}],"financialValues":[],"customValues":[],"error":null},"F|^VSATEBITDATTM06/23/2026USDt":{"r":[[1613667000]],"c":null,"a":["'Trading Comps'!G5"]},"F|^ASTSEBITDATTM06/23/2026USDt":{"r":[[-596719000]],"c":null,"a":["'Trading Comps'!G9"]},"F|^GSATEBITDATTM06/23/2026USDt":{"r":[[130467000]],"c":null,"a":["'Trading Comps'!G8"]},"F|^TMUSEBITDATTM06/23/2026USDt":{"r":[[31793000000]],"c":null,"a":["'Trading Comps'!G10"]},"F|^IRDMEBITDATTM06/23/2026USDt":{"r":[[437162000]],"c":null,"a":["'Trading Comps'!G7"]},"F|^SATSEBITDATTM06/23/2026USDt":{"r":[[-15894744000]],"c":null,"a":["'Trading Comps'!G6"]},"F|^CHTREBITDATTM06/23/2026USDt":{"r":[[21230000000]],"c":null,"a":["'Trading Comps'!G11"]},"F|^VSATRevenue % GrowthTTM06/23/2026USDt":{"r":[[0.02670806587616381]],"c":null,"a":["'Trading Comps'!K5"]},"F|^ASTSRevenue % GrowthTTM06/23/2026USDt":{"r":[[17.320750647109577]],"c":null,"a":["'Trading Comps'!K9"]},"F|^GSATRevenue % GrowthTTM06/23/2026USDt":{"r":[[0.11467855581506181]],"c":null,"a":["'Trading Comps'!K8"]},"F|^TMUSRevenue % GrowthTTM06/23/2026USDt":{"r":[[0.09478546896918694]],"c":null,"a":["'Trading Comps'!K10"]},"F|^IRDMRevenue % GrowthTTM06/23/2026USDt":{"r":[[0.04054973999265776]],"c":null,"a":["'Trading Comps'!K7"]},"F|^SATSRevenue % GrowthTTM06/23/2026USDt":{"r":[[-0.05597492824017403]],"c":null,"a":["'Trading Comps'!K6"]},"F|^CHTRRevenue % GrowthTTM06/23/2026USDt":{"r":[[-0.009158339529569681]],"c":null,"a":["'Trading Comps'!K11"]},"M|^/1000000RKLBMarket Cap06/23/202606/23/2026dasc0USD":{"r":[[62663.069931]],"c":[[]],"a":["'Trading Comps'!D14"]},"M|^/1000000BKSYMarket Cap06/23/202606/23/2026dasc0USD":{"r":[[1059.091602]],"c":[[]],"a":["'Trading Comps'!D18"]},"M|^/1000000SIDUMarket Cap06/23/202606/23/2026dasc0USD":{"r":[[301.784665]],"c":[[]],"a":["'Trading Comps'!D20"]},"M|^/1000000PLMarket Cap06/23/202606/23/2026dasc0USD":{"r":[[10253.700673]],"c":[[]],"a":["'Trading Comps'!D15"]},"M|^/1000000RDWMarket Cap06/23/202606/23/2026dasc0USD":{"r":[[3109.505992]],"c":[[]],"a":["'Trading Comps'!D16"]},"M|^/1000000LUNRMarket Cap06/23/202606/23/2026dasc0USD":{"r":[[3528.346275]],"c":[[]],"a":["'Trading Comps'!D17"]},"M|^/1000000MDA CN/MDA.TOMarket Cap06/23/202606/23/2026dasc0USD":{"id":12,"description":null,"headerValues":[],"financialValues":[],"customValues":[],"error":"PBXLP_ENTITY_ID"},"F|^RKLBEVTTM06/23/2026USDt":{"r":[[35804743439]],"c":null,"a":["'Trading Comps'!E14"]},"F|^BKSYEVTTM06/23/2026USDt":{"r":[[1015803520]],"c":null,"a":["'Trading Comps'!E18"]},"F|^RDWEVTTM06/23/2026USDt":{"r":[[1737444334]],"c":null,"a":["'Trading Comps'!E16"]},"F|^SIDUEVTTM06/23/2026USDt":{"r":[[151569363]],"c":null,"a":["'Trading Comps'!E20"]},"F|^LUNREVTTM06/23/2026USDt":{"r":[[3706173844]],"c":null,"a":["'Trading Comps'!E17"]},"F|^PLEVTTM06/23/2026USDt":{"r":[[12432488187]],"c":null,"a":["'Trading Comps'!E15"]},"F|^MDA CN/MDA.TOEVTTM06/23/2026USDt":{"id":20,"description":null,"headerValues":[],"financialValues":[],"customValues":[],"error":"PBXLP_ENTITY_ID"},"F|^RKLBTotal RevenueTTM06/23/2026USDt":{"r":[[679578000]],"c":null,"a":["'Trading Comps'!F14"]},"F|^BKSYTotal RevenueTTM06/23/2026USDt":{"r":[[97805000]],"c":null,"a":["'Trading Comps'!F18"]},"F|^RDWTotal RevenueTTM06/23/2026USDt":{"r":[[370958000]],"c":null,"a":["'Trading Comps'!F16"]},"F|^SIDUTotal RevenueTTM06/23/2026USDt":{"r":[[3504756]],"c":null,"a":["'Trading Comps'!F20"]},"F|^LUNRTotal RevenueTTM06/23/2026USDt":{"r":[[328238000]],"c":null,"a":["'Trading Comps'!F17"]},"F|^PLTotal RevenueTTM06/23/2026USDt":{"r":[[335612000]],"c":null,"a":["'Trading Comps'!F15"]},"F|^MDA CN/MDA.TOTotal RevenueTTM06/23/2026USDt":{"id":30,"description":null,"headerValues":[],"financialValues":[],"customValues":[],"error":"PBXLP_ENTITY_ID"},"F|^RKLBEBITDATTM06/23/2026USDt":{"r":[[-171548000]],"c":null,"a":["'Trading Comps'!G14"]},"F|^BKSYEBITDATTM06/23/2026USDt":{"r":[[-42770000]],"c":null,"a":["'Trading Comps'!G18"]},"F|^RDWEBITDATTM06/23/2026USDt":{"r":[[-244877000]],"c":null,"a":["'Trading Comps'!G16"]},"F|^SIDUEBITDATTM06/23/2026USDt":{"r":[[-24407070]],"c":null,"a":["'Trading Comps'!G20"]},"F|^LUNREBITDATTM06/23/2026USDt":{"r":[[-146611000]],"c":null,"a":["'Trading Comps'!G17"]},"F|^PLEBITDATTM06/23/2026USDt":{"r":[[-339975000]],"c":null,"a":["'Trading Comps'!G15"]},"F|^MDA CN/MDA.TOEBITDATTM06/23/2026USDt":{"id":33,"description":null,"headerValues":[],"financialValues":[],"customValues":[],"error":"PBXLP_ENTITY_ID"},"F|^RKLBRevenue % GrowthTTM06/23/2026USDt":{"r":[[0.45827181899333924]],"c":null,"a":["'Trading Comps'!K14"]},"F|^BKSYRevenue % GrowthTTM06/23/2026USDt":{"r":[[-0.08934739900000932]],"c":null,"a":["'Trading Comps'!K18"]},"F|^RDWRevenue % GrowthTTM06/23/2026USDt":{"r":[[0.33580358943335353]],"c":null,"a":["'Trading Comps'!K16"]},"F|^SIDURevenue % GrowthTTM06/23/2026USDt":{"r":[[-0.09226376170847594]],"c":null,"a":["'Trading Comps'!K20"]},"F|^LUNRRevenue % GrowthTTM06/23/2026USDt":{"r":[[0.5104944663031223]],"c":null,"a":["'Trading Comps'!K17"]},"F|^PLRevenue % GrowthTTM06/23/2026USDt":{"r":[[0.3414982192607634]],"c":null,"a":["'Trading Comps'!K15"]},"F|^MDA CN/MDA.TORevenue % GrowthTTM06/23/2026USDt":{"id":42,"description":null,"headerValues":[],"financialValues":[],"customValues":[],"error":"PBXLP_ENTITY_ID"},"M|^/1000000MDA CNMarket Cap06/23/202606/23/2026dasc0USD":{"id":49,"description":null,"headerValues":[],"financialValues":[],"customValues":[],"error":"PBXLP_ENTITY_ID"},"F|^MDA CNTotal RevenueTTM06/23/2026USDt":{"id":45,"description":null,"headerValues":[],"financialValues":[],"customValues":[],"error":"PBXLP_ENTITY_ID"},"F|^MDA CNRevenue % GrowthTTM06/23/2026USDt":{"id":46,"description":null,"headerValues":[],"financialValues":[],"customValues":[],"error":"PBXLP_ENTITY_ID"},"F|^MDA CNEVTTM06/23/2026USDt":{"id":47,"description":null,"headerValues":[],"financialValues":[],"customValues":[],"error":"PBXLP_ENTITY_ID"},"F|^MDA CNEBITDATTM06/23/2026USDt":{"id":48,"description":null,"headerValues":[],"financialValues":[],"customValues":[],"error":"PBXLP_ENTITY_ID"},"M|^/1000000MDA Market Cap06/23/202606/23/2026dasc0USD":{"r":[[5483.168312140214]],"c":[[]],"a":["'Trading Comps'!D19"]},"F|^MDA Revenue % GrowthTTM06/23/2026USDt":{"r":[[0.4290507364975451]],"c":null,"a":["'Trading Comps'!K19"]},"F|^MDA EBITDATTM06/23/2026USDt":{"r":[[232362983.8728]],"c":null,"a":["'Trading Comps'!G19"]},"F|^MDA Total RevenueTTM06/23/2026USDt":{"r":[[1263310954.9722]],"c":null,"a":["'Trading Comps'!F19"]},"F|^MDA EVTTM06/23/2026USDt":{"r":[[3673936052]],"c":null,"a":["'Trading Comps'!E19"]},"M|^/1000000LMTMarket Cap06/23/202606/23/2026dasc0USD":{"r":[[113806.196909]],"c":[[]],"a":["'Trading Comps'!D23"]},"M|^/1000000NOCMarket Cap06/23/202606/23/2026dasc0USD":{"r":[[72057.843379]],"c":[[]],"a":["'Trading Comps'!D25"]},"M|^/1000000BAMarket Cap06/23/202606/23/2026dasc0USD":{"r":[[174080.803755]],"c":[[]],"a":["'Trading Comps'!D24"]},"M|^/1000000LHXMarket Cap06/23/202606/23/2026dasc0USD":{"r":[[53248.685844]],"c":[[]],"a":["'Trading Comps'!D28"]},"M|^/1000000RTXMarket Cap06/23/202606/23/2026dasc0USD":{"r":[[244867.447713]],"c":[[]],"a":["'Trading Comps'!D26"]},"M|^/1000000TDGMarket Cap06/23/202606/23/2026dasc0USD":{"r":[[72484.33021]],"c":[[]],"a":["'Trading Comps'!D29"]},"M|^/1000000HEIMarket Cap06/23/202606/23/2026dasc0USD":{"r":[[37429.210446879835]],"c":[[]],"a":["'Trading Comps'!D30"]},"M|^/1000000GDMarket Cap06/23/202606/23/2026dasc0USD":{"r":[[92854.909008]],"c":[[]],"a":["'Trading Comps'!D27"]},"F|^LMTEVTTM06/23/2026USDt":{"r":[[156867999498]],"c":null,"a":["'Trading Comps'!E23"]},"F|^NOCEVTTM06/23/2026USDt":{"r":[[109440606711]],"c":null,"a":["'Trading Comps'!E25"]},"F|^BAEVTTM06/23/2026USDt":{"r":[[181448559184]],"c":null,"a":["'Trading Comps'!E24"]},"F|^TDGEVTTM06/23/2026USDt":{"r":[[92975600574]],"c":null,"a":["'Trading Comps'!E29"]},"F|^LHXEVTTM06/23/2026USDt":{"r":[[74512827174]],"c":null,"a":["'Trading Comps'!E28"]},"F|^RTXEVTTM06/23/2026USDt":{"r":[[293602427038]],"c":null,"a":["'Trading Comps'!E26"]},"F|^GDEVTTM06/23/2026USDt":{"r":[[100415716756]],"c":null,"a":["'Trading Comps'!E27"]},"F|^HEIEVTTM06/23/2026USDt":{"id":71,"description":null,"headerValues":[],"financialValues":[],"customValues":[],"error":null},"F|^LMTTotal RevenueTTM06/23/2026USDt":{"r":[[75106000000]],"c":null,"a":["'Trading Comps'!F23"]},"F|^NOCTotal RevenueTTM06/23/2026USDt":{"r":[[42367000000]],"c":null,"a":["'Trading Comps'!F25"]},"F|^TDGTotal RevenueTTM06/23/2026USDt":{"r":[[9502000000]],"c":null,"a":["'Trading Comps'!F29"]},"F|^BATotal RevenueTTM06/23/2026USDt":{"r":[[92184000000]],"c":null,"a":["'Trading Comps'!F24"]},"F|^LHXTotal RevenueTTM06/23/2026USDt":{"r":[[22477000000]],"c":null,"a":["'Trading Comps'!F28"]},"F|^RTXTotal RevenueTTM06/23/2026USDt":{"r":[[90373000000]],"c":null,"a":["'Trading Comps'!F26"]},"F|^GDTotal RevenueTTM06/23/2026USDt":{"r":[[53808000000]],"c":null,"a":["'Trading Comps'!F27"]},"F|^HEITotal RevenueTTM06/23/2026USDt":{"id":78,"description":null,"headerValues":[],"financialValues":[],"customValues":[],"error":null},"F|^LMTEBITDATTM06/23/2026USDt":{"r":[[8467000000]],"c":null,"a":["'Trading Comps'!G23"]},"F|^NOCEBITDATTM06/23/2026USDt":{"r":[[7698000000]],"c":null,"a":["'Trading Comps'!G25"]},"F|^BAEBITDATTM06/23/2026USDt":{"r":[[7324000000]],"c":null,"a":["'Trading Comps'!G24"]},"F|^TDGEBITDATTM06/23/2026USDt":{"r":[[4829000000]],"c":null,"a":["'Trading Comps'!G29"]},"F|^LHXEBITDATTM06/23/2026USDt":{"r":[[3850000000]],"c":null,"a":["'Trading Comps'!G28"]},"F|^RTXEBITDATTM06/23/2026USDt":{"r":[[15360000000]],"c":null,"a":["'Trading Comps'!G26"]},"F|^GDEBITDATTM06/23/2026USDt":{"r":[[6499000000]],"c":null,"a":["'Trading Comps'!G27"]},"F|^HEIEBITDATTM06/23/2026USDt":{"id":88,"description":null,"headerValues":[],"financialValues":[],"customValues":[],"error":null},"F|^LMTRevenue % GrowthTTM06/23/2026USDt":{"r":[[0.045884335268969956]],"c":null,"a":["'Trading Comps'!K23"]},"F|^NOCRevenue % GrowthTTM06/23/2026USDt":{"r":[[0.04951942132382081]],"c":null,"a":["'Trading Comps'!K25"]},"F|^TDGRevenue % GrowthTTM06/23/2026USDt":{"r":[[0.13280877443967576]],"c":null,"a":["'Trading Comps'!K29"]},"F|^BARevenue % GrowthTTM06/23/2026USDt":{"r":[[0.3274580957318127]],"c":null,"a":["'Trading Comps'!K24"]},"F|^LHXRevenue % GrowthTTM06/23/2026USDt":{"r":[[0.05794031817753931]],"c":null,"a":["'Trading Comps'!K28"]},"F|^RTXRevenue % GrowthTTM06/23/2026USDt":{"r":[[0.10562889196099778]],"c":null,"a":["'Trading Comps'!K26"]},"F|^GDRevenue % GrowthTTM06/23/2026USDt":{"r":[[0.09348073483986341]],"c":null,"a":["'Trading Comps'!K27"]},"F|^HEIRevenue % GrowthTTM06/23/2026USDt":{"id":96,"description":null,"headerValues":[],"financialValues":[],"customValues":[],"error":null},"M|^/1000000HEI.AMarket Cap06/23/202606/23/2026dasc0USD":{"r":[[38726.174449]],"c":[[]],"a":["'Trading Comps'!D30"]},"F|^HEI.ARevenue % GrowthTTM06/23/2026USDt":{"r":[[0.18803890610270613]],"c":null,"a":["'Trading Comps'!K30"]},"F|^HEI.AEBITDATTM06/23/2026USDt":{"r":[[1368169000]],"c":null,"a":["'Trading Comps'!G30"]},"F|^HEI.ATotal RevenueTTM06/23/2026USDt":{"r":[[4911297000]],"c":null,"a":["'Trading Comps'!F30"]},"F|^HEI.AEVTTM06/23/2026USDt":{"r":[[35310433053]],"c":null,"a":["'Trading Comps'!E30"]}},"DCF Scenario":{"D|^46488-07Revenue % GrowthUSD":{"id":4,"description":null,"headerValues":[{"simpleDate":null,"value":"PBXLP_WRONG_INPUT","description":null}],"financialValues":[],"customValues":[],"error":null},"F|^46488-07Revenue % GrowthTTM06/25/2026USDt":{"id":5,"description":null,"headerValues":[],"financialValues":[],"customValues":[],"error":null}},"Aftermarket Trading ":{"M|^46488-07Close Price06/15/202606/15/2026dasc0USD":{"r":[[192.5]],"c":[[]],"a":["'Aftermarket Trading '!C6"]},"M|^46488-07Close Price06/16/202606/16/2026dasc0USD":{"r":[[201.8]],"c":[[]],"a":["'Aftermarket Trading '!C7"]},"M|^46488-07Close Price06/12/202606/12/2026dasc0USD":{"r":[[160.95]],"c":[[]],"a":["'Aftermarket Trading '!C5"]},"M|^46488-07Close Price06/22/202606/22/2026dasc0USD":{"r":[[154.6]],"c":[[]],"a":["'Aftermarket Trading '!C11"]},"M|^46488-07Close Price06/17/202606/17/2026dasc0USD":{"r":[[191.82]],"c":[[]],"a":["'Aftermarket Trading '!C8"]},"M|^46488-07Close Price06/23/202606/23/2026dasc0USD":{"r":[[156.11]],"c":[[]],"a":["'Aftermarket Trading '!C12","'Aftermarket Trading '!C13"]},"M|^46488-07Close Price06/19/202606/19/2026dasc0USD":{"r":[[185]],"c":[[]],"a":["'Aftermarket Trading '!C10"]},"M|^46488-07Close Price06/18/202606/18/2026dasc0USD":{"r":[[185]],"c":[[]],"a":["'Aftermarket Trading '!C9"]}}}</t>
  </si>
  <si>
    <t>Day 9</t>
  </si>
  <si>
    <t>Day 10</t>
  </si>
  <si>
    <t>Day 11</t>
  </si>
  <si>
    <t>SpaceX’s IPO equity value represented a 408% uplift versus its last private valuation, while the Day-1 close implied a 505% uplift versus the last private valuation and a 19.2% uplift versus IPO pricing. The IPO-to-Day-1 move created approximately $341.5bn of incremental public market equity value, while the offer-to-close spread implied approximately $14.4bn of value left on the table.</t>
  </si>
  <si>
    <t>FY 2025 Revenue</t>
  </si>
  <si>
    <t>Goldman Sachs/Morgan Stanley /BofA/Citigroup/J.P. Morgan</t>
  </si>
  <si>
    <t>Under the current operating DCF case, SpaceX turns FCF-positive by 2029E as capex intensity normalizes, but the DCF implies a base equity value of approximately $69.9bn, materially below IPO and Day-1 market value. This suggests the simplified DCF does not capture the market’s embedded expectations for Starlink terminal scale, Starship optionality, defense/government growth, AI / compute infrastructure, and long-term margin expansion.</t>
  </si>
  <si>
    <t>Growth rate shown produces the following year's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</si>
</sst>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0.0000"/>
    <numFmt numFmtId="165" formatCode="0.000"/>
    <numFmt numFmtId="166" formatCode="0.0%"/>
    <numFmt numFmtId="167" formatCode="_([$$-409]* #,##0.00_);_([$$-409]* \(#,##0.00\);_([$$-409]* &quot;-&quot;??_);_(@_)"/>
    <numFmt numFmtId="168" formatCode="#,##0.0"/>
  </numFmts>
  <fonts count="26" x14ac:knownFonts="1">
    <font>
      <sz val="12"/>
      <color theme="1"/>
      <name val="Aptos Narrow"/>
      <family val="2"/>
      <scheme val="minor"/>
    </font>
    <font>
      <sz val="12"/>
      <color theme="0"/>
      <name val="Aptos Narrow"/>
      <family val="2"/>
      <scheme val="minor"/>
    </font>
    <font>
      <sz val="8"/>
      <name val="Aptos Narrow"/>
      <family val="2"/>
      <scheme val="minor"/>
    </font>
    <font>
      <b/>
      <sz val="16"/>
      <color theme="1"/>
      <name val="Aptos Narrow"/>
      <scheme val="minor"/>
    </font>
    <font>
      <sz val="12"/>
      <color theme="1"/>
      <name val="Aptos Narrow"/>
      <family val="2"/>
      <scheme val="minor"/>
    </font>
    <font>
      <sz val="10"/>
      <color theme="1"/>
      <name val="Arial Unicode MS"/>
      <family val="2"/>
    </font>
    <font>
      <sz val="12"/>
      <color rgb="FF000000"/>
      <name val="Aptos Narrow"/>
      <family val="2"/>
      <scheme val="minor"/>
    </font>
    <font>
      <sz val="12"/>
      <color theme="1"/>
      <name val="Aptos Narrow"/>
      <scheme val="minor"/>
    </font>
    <font>
      <sz val="12"/>
      <color theme="0"/>
      <name val="Aptos Narrow"/>
      <scheme val="minor"/>
    </font>
    <font>
      <sz val="12"/>
      <color rgb="FF0070C0"/>
      <name val="Aptos Narrow"/>
      <scheme val="minor"/>
    </font>
    <font>
      <sz val="12"/>
      <color rgb="FF000000"/>
      <name val="Aptos Narrow"/>
      <scheme val="minor"/>
    </font>
    <font>
      <sz val="12"/>
      <color rgb="FF00B050"/>
      <name val="Aptos Narrow"/>
      <scheme val="minor"/>
    </font>
    <font>
      <b/>
      <sz val="16"/>
      <color theme="0"/>
      <name val="Aptos Narrow"/>
      <scheme val="minor"/>
    </font>
    <font>
      <b/>
      <sz val="16"/>
      <color rgb="FF002060"/>
      <name val="Aptos Narrow (Body)"/>
    </font>
    <font>
      <sz val="12"/>
      <color rgb="FFFF0000"/>
      <name val="Aptos Narrow"/>
      <family val="2"/>
      <scheme val="minor"/>
    </font>
    <font>
      <sz val="14"/>
      <color theme="1"/>
      <name val="Aptos Narrow (Body)"/>
    </font>
    <font>
      <b/>
      <sz val="12"/>
      <color theme="0"/>
      <name val="Aptos Narrow"/>
      <family val="2"/>
      <scheme val="minor"/>
    </font>
    <font>
      <b/>
      <sz val="16"/>
      <color theme="0"/>
      <name val="Aptos Narrow"/>
      <family val="2"/>
      <scheme val="minor"/>
    </font>
    <font>
      <b/>
      <sz val="16"/>
      <color theme="1"/>
      <name val="Aptos Narrow (Body)"/>
    </font>
    <font>
      <sz val="14"/>
      <color theme="1"/>
      <name val="Aptos Narrow"/>
      <family val="2"/>
      <scheme val="minor"/>
    </font>
    <font>
      <b/>
      <sz val="16"/>
      <color theme="1"/>
      <name val="Aptos Narrow"/>
      <family val="2"/>
      <scheme val="minor"/>
    </font>
    <font>
      <b/>
      <sz val="16"/>
      <color theme="0"/>
      <name val="Aptos Narrow (Body)"/>
    </font>
    <font>
      <sz val="14"/>
      <color theme="0"/>
      <name val="Aptos Narrow"/>
      <scheme val="minor"/>
    </font>
    <font>
      <b/>
      <sz val="12"/>
      <color theme="1"/>
      <name val="Aptos Narrow"/>
      <family val="2"/>
      <scheme val="minor"/>
    </font>
    <font>
      <sz val="16"/>
      <color theme="0"/>
      <name val="Aptos Narrow"/>
      <family val="2"/>
      <scheme val="minor"/>
    </font>
    <font>
      <sz val="14"/>
      <color theme="0"/>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113">
    <xf numFmtId="0" fontId="0" fillId="0" borderId="0" xfId="0"/>
    <xf numFmtId="0" fontId="0" fillId="0" borderId="0" xfId="0" applyAlignment="1">
      <alignment horizontal="center"/>
    </xf>
    <xf numFmtId="0" fontId="1" fillId="2" borderId="0" xfId="0" applyFont="1" applyFill="1"/>
    <xf numFmtId="14" fontId="0" fillId="0" borderId="0" xfId="0" applyNumberFormat="1" applyAlignment="1">
      <alignment horizontal="center"/>
    </xf>
    <xf numFmtId="0" fontId="1" fillId="2" borderId="0" xfId="0" applyFont="1" applyFill="1" applyAlignment="1">
      <alignment horizontal="center"/>
    </xf>
    <xf numFmtId="0" fontId="0" fillId="2" borderId="0" xfId="0" applyFill="1"/>
    <xf numFmtId="0" fontId="5" fillId="0" borderId="0" xfId="0" applyFont="1" applyAlignment="1">
      <alignment horizontal="center"/>
    </xf>
    <xf numFmtId="2" fontId="0" fillId="0" borderId="0" xfId="0" applyNumberFormat="1" applyAlignment="1">
      <alignment horizontal="center"/>
    </xf>
    <xf numFmtId="0" fontId="3" fillId="0" borderId="0" xfId="0" applyFont="1"/>
    <xf numFmtId="2" fontId="0" fillId="0" borderId="0" xfId="2" applyNumberFormat="1" applyFont="1" applyAlignment="1">
      <alignment horizontal="center"/>
    </xf>
    <xf numFmtId="0" fontId="0" fillId="0" borderId="0" xfId="0" applyAlignment="1">
      <alignment horizontal="left"/>
    </xf>
    <xf numFmtId="0" fontId="3" fillId="0" borderId="0" xfId="0" applyFont="1" applyAlignment="1">
      <alignment horizontal="left"/>
    </xf>
    <xf numFmtId="4" fontId="0" fillId="0" borderId="0" xfId="0" applyNumberFormat="1" applyAlignment="1">
      <alignment horizontal="center"/>
    </xf>
    <xf numFmtId="0" fontId="5" fillId="0" borderId="0" xfId="0" applyFont="1"/>
    <xf numFmtId="164" fontId="0" fillId="0" borderId="0" xfId="0" applyNumberFormat="1" applyAlignment="1">
      <alignment horizontal="center"/>
    </xf>
    <xf numFmtId="2" fontId="5" fillId="0" borderId="0" xfId="0" applyNumberFormat="1" applyFont="1" applyAlignment="1">
      <alignment horizontal="center"/>
    </xf>
    <xf numFmtId="0" fontId="7" fillId="2" borderId="0" xfId="0" applyFont="1" applyFill="1"/>
    <xf numFmtId="0" fontId="8" fillId="2" borderId="0" xfId="0" applyFont="1" applyFill="1"/>
    <xf numFmtId="0" fontId="8" fillId="2" borderId="0" xfId="0" applyFont="1" applyFill="1" applyAlignment="1">
      <alignment horizontal="center"/>
    </xf>
    <xf numFmtId="0" fontId="8" fillId="2" borderId="0" xfId="0" applyFont="1" applyFill="1" applyAlignment="1">
      <alignment horizontal="left"/>
    </xf>
    <xf numFmtId="0" fontId="7" fillId="0" borderId="0" xfId="0" applyFont="1"/>
    <xf numFmtId="0" fontId="7" fillId="0" borderId="0" xfId="0" applyFont="1" applyAlignment="1">
      <alignment horizontal="center"/>
    </xf>
    <xf numFmtId="0" fontId="9" fillId="0" borderId="0" xfId="0" applyFont="1" applyAlignment="1">
      <alignment horizontal="center"/>
    </xf>
    <xf numFmtId="14"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left" vertical="center"/>
    </xf>
    <xf numFmtId="0" fontId="7" fillId="0" borderId="0" xfId="0" applyFont="1" applyAlignment="1">
      <alignment horizontal="center" vertical="center"/>
    </xf>
    <xf numFmtId="0" fontId="9" fillId="0" borderId="0" xfId="0" applyFont="1" applyAlignment="1">
      <alignment horizontal="center" vertical="center" wrapText="1"/>
    </xf>
    <xf numFmtId="0" fontId="7" fillId="0" borderId="0" xfId="0" applyFont="1" applyAlignment="1">
      <alignment vertical="center" wrapText="1"/>
    </xf>
    <xf numFmtId="2" fontId="10" fillId="0" borderId="0" xfId="0" applyNumberFormat="1" applyFont="1" applyAlignment="1">
      <alignment horizontal="center"/>
    </xf>
    <xf numFmtId="0" fontId="9" fillId="0" borderId="0" xfId="0" applyFont="1" applyAlignment="1">
      <alignment horizontal="center" vertical="center"/>
    </xf>
    <xf numFmtId="2" fontId="9" fillId="0" borderId="0" xfId="0" applyNumberFormat="1" applyFont="1" applyAlignment="1">
      <alignment horizontal="center"/>
    </xf>
    <xf numFmtId="2" fontId="10" fillId="3" borderId="0" xfId="0" applyNumberFormat="1" applyFont="1" applyFill="1" applyAlignment="1">
      <alignment horizontal="center"/>
    </xf>
    <xf numFmtId="2" fontId="9" fillId="0" borderId="0" xfId="1" applyNumberFormat="1" applyFont="1" applyAlignment="1">
      <alignment horizontal="center"/>
    </xf>
    <xf numFmtId="2" fontId="9" fillId="0" borderId="0" xfId="0" applyNumberFormat="1" applyFont="1" applyAlignment="1">
      <alignment horizontal="center" vertical="center"/>
    </xf>
    <xf numFmtId="2" fontId="7" fillId="0" borderId="0" xfId="0" applyNumberFormat="1" applyFont="1" applyAlignment="1">
      <alignment horizontal="center"/>
    </xf>
    <xf numFmtId="2" fontId="11" fillId="0" borderId="0" xfId="0" applyNumberFormat="1" applyFont="1" applyAlignment="1">
      <alignment horizontal="center"/>
    </xf>
    <xf numFmtId="2" fontId="5" fillId="0" borderId="0" xfId="0" applyNumberFormat="1" applyFont="1"/>
    <xf numFmtId="0" fontId="3" fillId="0" borderId="0" xfId="0" applyFont="1" applyAlignment="1">
      <alignment vertical="center" wrapText="1"/>
    </xf>
    <xf numFmtId="0" fontId="9" fillId="0" borderId="0" xfId="0" applyFont="1" applyAlignment="1">
      <alignment vertical="center" wrapText="1"/>
    </xf>
    <xf numFmtId="14" fontId="0" fillId="0" borderId="0" xfId="0" applyNumberFormat="1" applyAlignment="1">
      <alignment horizontal="left"/>
    </xf>
    <xf numFmtId="164" fontId="7" fillId="0" borderId="0" xfId="0" applyNumberFormat="1" applyFont="1" applyAlignment="1">
      <alignment horizontal="center"/>
    </xf>
    <xf numFmtId="0" fontId="0" fillId="2" borderId="0" xfId="0" applyFill="1" applyAlignment="1">
      <alignment horizontal="center"/>
    </xf>
    <xf numFmtId="2" fontId="5" fillId="3" borderId="0" xfId="0" applyNumberFormat="1" applyFont="1" applyFill="1" applyAlignment="1">
      <alignment horizontal="center"/>
    </xf>
    <xf numFmtId="2" fontId="0" fillId="3" borderId="0" xfId="0" applyNumberFormat="1" applyFill="1" applyAlignment="1">
      <alignment horizontal="center"/>
    </xf>
    <xf numFmtId="1" fontId="0" fillId="0" borderId="0" xfId="0" applyNumberFormat="1" applyAlignment="1">
      <alignment horizontal="center"/>
    </xf>
    <xf numFmtId="10" fontId="0" fillId="0" borderId="0" xfId="0" applyNumberFormat="1" applyAlignment="1">
      <alignment horizontal="left"/>
    </xf>
    <xf numFmtId="165" fontId="0" fillId="0" borderId="0" xfId="0" applyNumberFormat="1" applyAlignment="1">
      <alignment horizontal="left"/>
    </xf>
    <xf numFmtId="8" fontId="0" fillId="0" borderId="0" xfId="0" applyNumberFormat="1" applyAlignment="1">
      <alignment horizontal="left"/>
    </xf>
    <xf numFmtId="2" fontId="0" fillId="0" borderId="0" xfId="0" applyNumberFormat="1" applyAlignment="1">
      <alignment horizontal="left"/>
    </xf>
    <xf numFmtId="166" fontId="0" fillId="0" borderId="0" xfId="2" applyNumberFormat="1" applyFont="1" applyAlignment="1">
      <alignment horizontal="left"/>
    </xf>
    <xf numFmtId="9" fontId="0" fillId="0" borderId="0" xfId="0" applyNumberFormat="1" applyAlignment="1">
      <alignment horizontal="left"/>
    </xf>
    <xf numFmtId="166" fontId="0" fillId="0" borderId="0" xfId="0" applyNumberFormat="1" applyAlignment="1">
      <alignment horizontal="left"/>
    </xf>
    <xf numFmtId="2" fontId="14" fillId="0" borderId="0" xfId="2" applyNumberFormat="1" applyFont="1" applyAlignment="1">
      <alignment horizontal="left"/>
    </xf>
    <xf numFmtId="10" fontId="0" fillId="0" borderId="1" xfId="0" applyNumberFormat="1" applyBorder="1"/>
    <xf numFmtId="9" fontId="0" fillId="0" borderId="1" xfId="2" applyFont="1" applyBorder="1" applyAlignment="1">
      <alignment horizontal="center"/>
    </xf>
    <xf numFmtId="0" fontId="0" fillId="0" borderId="1" xfId="0" applyBorder="1" applyAlignment="1">
      <alignment horizontal="center"/>
    </xf>
    <xf numFmtId="165" fontId="0" fillId="0" borderId="0" xfId="0" applyNumberFormat="1" applyAlignment="1">
      <alignment horizontal="center"/>
    </xf>
    <xf numFmtId="0" fontId="1" fillId="2" borderId="0" xfId="0" applyFont="1" applyFill="1" applyAlignment="1">
      <alignment horizontal="left"/>
    </xf>
    <xf numFmtId="10" fontId="10" fillId="0" borderId="0" xfId="2" applyNumberFormat="1" applyFont="1" applyAlignment="1">
      <alignment horizontal="center"/>
    </xf>
    <xf numFmtId="3" fontId="0" fillId="0" borderId="0" xfId="0" applyNumberFormat="1" applyAlignment="1">
      <alignment horizontal="center"/>
    </xf>
    <xf numFmtId="0" fontId="16" fillId="2" borderId="0" xfId="0" applyFont="1" applyFill="1" applyAlignment="1">
      <alignment horizontal="center"/>
    </xf>
    <xf numFmtId="14" fontId="3" fillId="0" borderId="0" xfId="0" applyNumberFormat="1" applyFont="1" applyAlignment="1">
      <alignment horizontal="left"/>
    </xf>
    <xf numFmtId="0" fontId="7" fillId="0" borderId="0" xfId="0" applyFont="1" applyAlignment="1">
      <alignment horizontal="left"/>
    </xf>
    <xf numFmtId="0" fontId="0" fillId="0" borderId="0" xfId="0" applyAlignment="1">
      <alignment vertical="center" wrapText="1"/>
    </xf>
    <xf numFmtId="168" fontId="0" fillId="0" borderId="0" xfId="0" applyNumberFormat="1" applyAlignment="1">
      <alignment horizontal="center"/>
    </xf>
    <xf numFmtId="168" fontId="0" fillId="0" borderId="0" xfId="0" applyNumberFormat="1" applyAlignment="1">
      <alignment horizontal="left"/>
    </xf>
    <xf numFmtId="4" fontId="0" fillId="0" borderId="0" xfId="0" applyNumberFormat="1" applyAlignment="1">
      <alignment horizontal="left"/>
    </xf>
    <xf numFmtId="0" fontId="22"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167" fontId="1" fillId="0" borderId="1" xfId="0" applyNumberFormat="1" applyFont="1" applyBorder="1"/>
    <xf numFmtId="0" fontId="19" fillId="0" borderId="0" xfId="0" applyFont="1" applyAlignment="1">
      <alignment vertical="center" wrapText="1"/>
    </xf>
    <xf numFmtId="0" fontId="23" fillId="2" borderId="0" xfId="0" applyFont="1" applyFill="1"/>
    <xf numFmtId="0" fontId="23" fillId="0" borderId="0" xfId="0" applyFont="1"/>
    <xf numFmtId="0" fontId="23" fillId="0" borderId="0" xfId="0" applyFont="1" applyAlignment="1">
      <alignment wrapText="1"/>
    </xf>
    <xf numFmtId="0" fontId="23" fillId="2" borderId="0" xfId="0" applyFont="1" applyFill="1" applyAlignment="1">
      <alignment wrapText="1"/>
    </xf>
    <xf numFmtId="0" fontId="0" fillId="0" borderId="0" xfId="0" applyAlignment="1">
      <alignment horizontal="center" wrapText="1"/>
    </xf>
    <xf numFmtId="0" fontId="0" fillId="0" borderId="0" xfId="0" applyAlignment="1">
      <alignment wrapText="1"/>
    </xf>
    <xf numFmtId="0" fontId="23" fillId="0" borderId="0" xfId="0" applyFont="1" applyAlignment="1">
      <alignment horizontal="center" vertical="center"/>
    </xf>
    <xf numFmtId="0" fontId="23" fillId="0" borderId="0" xfId="0" applyFont="1" applyAlignment="1">
      <alignment horizontal="center" vertical="center" wrapText="1"/>
    </xf>
    <xf numFmtId="0" fontId="0" fillId="0" borderId="0" xfId="0" applyAlignment="1">
      <alignment horizontal="center" vertical="center" wrapText="1"/>
    </xf>
    <xf numFmtId="0" fontId="23" fillId="0" borderId="0" xfId="0" applyFont="1" applyAlignment="1">
      <alignment horizontal="center"/>
    </xf>
    <xf numFmtId="0" fontId="23" fillId="0" borderId="0" xfId="0" applyFont="1" applyAlignment="1">
      <alignment horizontal="center" wrapText="1"/>
    </xf>
    <xf numFmtId="0" fontId="20" fillId="0" borderId="0" xfId="0" applyFont="1"/>
    <xf numFmtId="0" fontId="25" fillId="2" borderId="0" xfId="0" applyFont="1" applyFill="1" applyAlignment="1">
      <alignment horizontal="left"/>
    </xf>
    <xf numFmtId="0" fontId="25" fillId="2" borderId="0" xfId="0" applyFont="1" applyFill="1" applyAlignment="1">
      <alignment horizontal="center"/>
    </xf>
    <xf numFmtId="3" fontId="6" fillId="3" borderId="0" xfId="0" applyNumberFormat="1" applyFont="1" applyFill="1" applyAlignment="1">
      <alignment horizontal="center"/>
    </xf>
    <xf numFmtId="9" fontId="5" fillId="0" borderId="0" xfId="2" applyFont="1" applyAlignment="1">
      <alignment horizontal="center"/>
    </xf>
    <xf numFmtId="166" fontId="5" fillId="0" borderId="0" xfId="2" applyNumberFormat="1" applyFont="1" applyAlignment="1">
      <alignment horizontal="center"/>
    </xf>
    <xf numFmtId="0" fontId="9" fillId="0" borderId="0" xfId="0" applyFont="1" applyAlignment="1">
      <alignment horizontal="left" vertical="center" wrapText="1"/>
    </xf>
    <xf numFmtId="0" fontId="3" fillId="0" borderId="0" xfId="0" applyFont="1" applyAlignment="1">
      <alignment horizontal="left"/>
    </xf>
    <xf numFmtId="0" fontId="7" fillId="0" borderId="0" xfId="0" applyFont="1" applyAlignment="1">
      <alignment horizontal="left"/>
    </xf>
    <xf numFmtId="0" fontId="12" fillId="2" borderId="0" xfId="0" applyFont="1" applyFill="1" applyAlignment="1">
      <alignment horizontal="left"/>
    </xf>
    <xf numFmtId="0" fontId="3" fillId="0" borderId="0" xfId="0" applyFont="1"/>
    <xf numFmtId="0" fontId="7" fillId="0" borderId="0" xfId="0" applyFont="1" applyAlignment="1">
      <alignment horizontal="center" wrapText="1"/>
    </xf>
    <xf numFmtId="0" fontId="9" fillId="0" borderId="0" xfId="0" applyFont="1" applyAlignment="1">
      <alignment horizontal="center" wrapText="1"/>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xf>
    <xf numFmtId="2" fontId="3" fillId="0" borderId="0" xfId="0" applyNumberFormat="1" applyFont="1" applyAlignment="1">
      <alignment horizontal="left"/>
    </xf>
    <xf numFmtId="0" fontId="15"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7" fillId="2" borderId="0" xfId="0" applyFont="1" applyFill="1" applyAlignment="1">
      <alignment horizontal="left"/>
    </xf>
    <xf numFmtId="0" fontId="18" fillId="0" borderId="0" xfId="0" applyFont="1" applyAlignment="1">
      <alignment horizontal="left"/>
    </xf>
    <xf numFmtId="0" fontId="20" fillId="0" borderId="0" xfId="0" applyFont="1" applyAlignment="1">
      <alignment horizontal="left"/>
    </xf>
    <xf numFmtId="0" fontId="21" fillId="2" borderId="0" xfId="0" applyFont="1" applyFill="1" applyAlignment="1">
      <alignment horizontal="left"/>
    </xf>
    <xf numFmtId="0" fontId="0" fillId="2" borderId="0" xfId="0" applyFill="1" applyAlignment="1">
      <alignment horizontal="left"/>
    </xf>
    <xf numFmtId="0" fontId="20" fillId="0" borderId="0" xfId="0" applyFont="1" applyAlignment="1">
      <alignment vertical="center"/>
    </xf>
    <xf numFmtId="0" fontId="24" fillId="2" borderId="0" xfId="0" applyFont="1" applyFill="1" applyAlignment="1">
      <alignment horizontal="left"/>
    </xf>
    <xf numFmtId="0" fontId="0" fillId="0" borderId="0" xfId="0" applyAlignment="1">
      <alignment horizontal="center" vertical="center"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SpaceX</a:t>
            </a:r>
            <a:r>
              <a:rPr lang="en-US" baseline="0">
                <a:solidFill>
                  <a:schemeClr val="tx1"/>
                </a:solidFill>
              </a:rPr>
              <a:t> Intrinsic Value Range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'Valuation Summary'!$A$15</c:f>
              <c:strCache>
                <c:ptCount val="1"/>
                <c:pt idx="0">
                  <c:v>Segment SOTP</c:v>
                </c:pt>
              </c:strCache>
            </c:strRef>
          </c:tx>
          <c:spPr>
            <a:solidFill>
              <a:srgbClr val="002060"/>
            </a:solidFill>
            <a:ln>
              <a:noFill/>
            </a:ln>
            <a:effectLst/>
          </c:spPr>
          <c:invertIfNegative val="0"/>
          <c:cat>
            <c:strRef>
              <c:f>'Valuation Summary'!$B$12:$C$12</c:f>
              <c:strCache>
                <c:ptCount val="2"/>
                <c:pt idx="0">
                  <c:v>Range Start</c:v>
                </c:pt>
                <c:pt idx="1">
                  <c:v>Range Width</c:v>
                </c:pt>
              </c:strCache>
            </c:strRef>
          </c:cat>
          <c:val>
            <c:numRef>
              <c:f>'Valuation Summary'!$B$15:$C$15</c:f>
              <c:numCache>
                <c:formatCode>0.000</c:formatCode>
                <c:ptCount val="2"/>
                <c:pt idx="0" formatCode="General">
                  <c:v>0</c:v>
                </c:pt>
                <c:pt idx="1">
                  <c:v>95353.739999999991</c:v>
                </c:pt>
              </c:numCache>
            </c:numRef>
          </c:val>
          <c:extLst>
            <c:ext xmlns:c16="http://schemas.microsoft.com/office/drawing/2014/chart" uri="{C3380CC4-5D6E-409C-BE32-E72D297353CC}">
              <c16:uniqueId val="{00000002-65A1-CA4C-A716-65FD44D943BE}"/>
            </c:ext>
          </c:extLst>
        </c:ser>
        <c:ser>
          <c:idx val="1"/>
          <c:order val="1"/>
          <c:tx>
            <c:strRef>
              <c:f>'Valuation Summary'!$A$16</c:f>
              <c:strCache>
                <c:ptCount val="1"/>
                <c:pt idx="0">
                  <c:v>DCF</c:v>
                </c:pt>
              </c:strCache>
            </c:strRef>
          </c:tx>
          <c:spPr>
            <a:solidFill>
              <a:srgbClr val="0070C0"/>
            </a:solidFill>
            <a:ln>
              <a:noFill/>
            </a:ln>
            <a:effectLst/>
          </c:spPr>
          <c:invertIfNegative val="0"/>
          <c:cat>
            <c:strRef>
              <c:f>'Valuation Summary'!$B$12:$C$12</c:f>
              <c:strCache>
                <c:ptCount val="2"/>
                <c:pt idx="0">
                  <c:v>Range Start</c:v>
                </c:pt>
                <c:pt idx="1">
                  <c:v>Range Width</c:v>
                </c:pt>
              </c:strCache>
            </c:strRef>
          </c:cat>
          <c:val>
            <c:numRef>
              <c:f>'Valuation Summary'!$B$16:$C$16</c:f>
              <c:numCache>
                <c:formatCode>0.000</c:formatCode>
                <c:ptCount val="2"/>
                <c:pt idx="0" formatCode="General">
                  <c:v>0</c:v>
                </c:pt>
                <c:pt idx="1">
                  <c:v>36140.192107422874</c:v>
                </c:pt>
              </c:numCache>
            </c:numRef>
          </c:val>
          <c:extLst>
            <c:ext xmlns:c16="http://schemas.microsoft.com/office/drawing/2014/chart" uri="{C3380CC4-5D6E-409C-BE32-E72D297353CC}">
              <c16:uniqueId val="{00000003-65A1-CA4C-A716-65FD44D943BE}"/>
            </c:ext>
          </c:extLst>
        </c:ser>
        <c:dLbls>
          <c:showLegendKey val="0"/>
          <c:showVal val="0"/>
          <c:showCatName val="0"/>
          <c:showSerName val="0"/>
          <c:showPercent val="0"/>
          <c:showBubbleSize val="0"/>
        </c:dLbls>
        <c:gapWidth val="182"/>
        <c:axId val="1893160639"/>
        <c:axId val="1903409151"/>
      </c:barChart>
      <c:catAx>
        <c:axId val="1893160639"/>
        <c:scaling>
          <c:orientation val="minMax"/>
        </c:scaling>
        <c:delete val="1"/>
        <c:axPos val="l"/>
        <c:numFmt formatCode="General" sourceLinked="1"/>
        <c:majorTickMark val="none"/>
        <c:minorTickMark val="none"/>
        <c:tickLblPos val="nextTo"/>
        <c:crossAx val="1903409151"/>
        <c:crosses val="autoZero"/>
        <c:auto val="1"/>
        <c:lblAlgn val="ctr"/>
        <c:lblOffset val="100"/>
        <c:noMultiLvlLbl val="0"/>
      </c:catAx>
      <c:valAx>
        <c:axId val="1903409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Equity</a:t>
                </a:r>
                <a:r>
                  <a:rPr lang="en-US" baseline="0">
                    <a:solidFill>
                      <a:schemeClr val="tx1"/>
                    </a:solidFill>
                  </a:rPr>
                  <a:t> Value Range ($mm)</a:t>
                </a:r>
              </a:p>
              <a:p>
                <a:pPr>
                  <a:defRPr>
                    <a:solidFill>
                      <a:schemeClr val="tx1"/>
                    </a:solidFill>
                  </a:defRPr>
                </a:pPr>
                <a:endParaRPr lang="en-US">
                  <a:solidFill>
                    <a:schemeClr val="tx1"/>
                  </a:solidFill>
                </a:endParaRPr>
              </a:p>
            </c:rich>
          </c:tx>
          <c:layout>
            <c:manualLayout>
              <c:xMode val="edge"/>
              <c:yMode val="edge"/>
              <c:x val="0.47567987437913595"/>
              <c:y val="0.849978447810191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160639"/>
        <c:crosses val="autoZero"/>
        <c:crossBetween val="between"/>
      </c:valAx>
      <c:spPr>
        <a:noFill/>
        <a:ln>
          <a:noFill/>
        </a:ln>
        <a:effectLst/>
      </c:spPr>
    </c:plotArea>
    <c:legend>
      <c:legendPos val="l"/>
      <c:layout>
        <c:manualLayout>
          <c:xMode val="edge"/>
          <c:yMode val="edge"/>
          <c:x val="8.5106382978723406E-3"/>
          <c:y val="0.3850342665500146"/>
          <c:w val="0.10591735075668733"/>
          <c:h val="0.248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18</xdr:row>
      <xdr:rowOff>63500</xdr:rowOff>
    </xdr:from>
    <xdr:to>
      <xdr:col>6</xdr:col>
      <xdr:colOff>1524000</xdr:colOff>
      <xdr:row>33</xdr:row>
      <xdr:rowOff>13956</xdr:rowOff>
    </xdr:to>
    <xdr:graphicFrame macro="">
      <xdr:nvGraphicFramePr>
        <xdr:cNvPr id="5" name="Chart 3">
          <a:extLst>
            <a:ext uri="{FF2B5EF4-FFF2-40B4-BE49-F238E27FC236}">
              <a16:creationId xmlns:a16="http://schemas.microsoft.com/office/drawing/2014/main" id="{04E6D4C8-39CF-7AFA-8E6F-3D42D71F6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0" width="350" row="0">
    <wetp:webextensionref xmlns:r="http://schemas.openxmlformats.org/officeDocument/2006/relationships" r:id="rId3"/>
  </wetp:taskpane>
  <wetp:taskpane dockstate="right" visibility="0" width="0" row="0">
    <wetp:webextensionref xmlns:r="http://schemas.openxmlformats.org/officeDocument/2006/relationships" r:id="rId4"/>
  </wetp:taskpane>
</wetp:taskpanes>
</file>

<file path=xl/webextensions/webextension1.xml><?xml version="1.0" encoding="utf-8"?>
<we:webextension xmlns:we="http://schemas.microsoft.com/office/webextensions/webextension/2010/11" id="{9F8D0608-5C47-8C4F-98E0-B4CB62946DD2}">
  <we:reference id="wa200010725" version="1.0.0.1" store="en-US" storeType="OMEX"/>
  <we:alternateReferences>
    <we:reference id="WA200010725" version="1.0.0.1" store="" storeType="OMEX"/>
  </we:alternateReferences>
  <we:properties>
    <we:property name="claude.fileId" value="&quot;138b0a57-78d6-4dd9-865c-0b52248b6f4a&quot;"/>
  </we:properties>
  <we:bindings/>
  <we:snapshot xmlns:r="http://schemas.openxmlformats.org/officeDocument/2006/relationships"/>
</we:webextension>
</file>

<file path=xl/webextensions/webextension2.xml><?xml version="1.0" encoding="utf-8"?>
<we:webextension xmlns:we="http://schemas.microsoft.com/office/webextensions/webextension/2010/11" id="{331AE8D4-FA85-2245-B54B-6042E9ED59E6}">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54156ED8-CDF3-B440-821A-1FC7F3B6799B}">
  <we:reference id="wa200002663" version="1.8.0.0" store="en-US" storeType="OMEX"/>
  <we:alternateReferences>
    <we:reference id="WA200002663" version="1.8.0.0" store=""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PBF</we:customFunctionIds>
        <we:customFunctionIds>PBM</we:customFunctionIds>
        <we:customFunctionIds>PBD</we:customFunctionIds>
        <we:customFunctionIds>PBA</we:customFunctionIds>
        <we:customFunctionIds>PBS</we:customFunctionIds>
        <we:customFunctionIds>PBEQR</we:customFunctionIds>
        <we:customFunctionIds>PBIMAGE</we:customFunctionIds>
        <we:customFunctionIds>PBFS</we:customFunctionIds>
        <we:customFunctionIds>PBMATCHPBID</we:customFunctionIds>
        <we:customFunctionIds>PBMATCHSYMBOL</we:customFunctionIds>
        <we:customFunctionIds>PBR</we:customFunctionIds>
        <we:customFunctionIds>PBCHARTMARKET</we:customFunctionIds>
      </we:customFunctionIdList>
    </a:ext>
  </we:extLst>
</we:webextension>
</file>

<file path=xl/webextensions/webextension4.xml><?xml version="1.0" encoding="utf-8"?>
<we:webextension xmlns:we="http://schemas.microsoft.com/office/webextensions/webextension/2010/11" id="{2072DB0D-E78E-234E-9A07-3935F94D115A}">
  <we:reference id="wa200003692" version="1.0.0.2" store="en-US" storeType="OMEX"/>
  <we:alternateReferences>
    <we:reference id="WA200003692" version="1.0.0.2" store="" storeType="OMEX"/>
  </we:alternateReferences>
  <we:properties/>
  <we:bindings/>
  <we:snapshot xmlns:r="http://schemas.openxmlformats.org/officeDocument/2006/relationships"/>
</we:webextension>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5E445-C982-734B-9ABE-38058EADC158}">
  <dimension ref="A1:H80"/>
  <sheetViews>
    <sheetView showGridLines="0" workbookViewId="0">
      <pane ySplit="3" topLeftCell="A56" activePane="bottomLeft" state="frozen"/>
      <selection pane="bottomLeft" activeCell="E67" sqref="E67"/>
    </sheetView>
  </sheetViews>
  <sheetFormatPr baseColWidth="10" defaultColWidth="10.83203125" defaultRowHeight="16" x14ac:dyDescent="0.2"/>
  <cols>
    <col min="1" max="1" width="33.5" style="20" customWidth="1"/>
    <col min="2" max="2" width="14.1640625" style="21" customWidth="1"/>
    <col min="3" max="3" width="41.33203125" style="21" customWidth="1"/>
    <col min="4" max="4" width="22.5" style="21" customWidth="1"/>
    <col min="5" max="5" width="18.5" style="20" customWidth="1"/>
    <col min="6" max="6" width="12.1640625" style="20" customWidth="1"/>
    <col min="7" max="7" width="36.33203125" style="20" customWidth="1"/>
    <col min="8" max="8" width="15" style="20" customWidth="1"/>
    <col min="9" max="16384" width="10.83203125" style="20"/>
  </cols>
  <sheetData>
    <row r="1" spans="1:8" s="16" customFormat="1" ht="22" x14ac:dyDescent="0.3">
      <c r="A1" s="93" t="s">
        <v>0</v>
      </c>
      <c r="B1" s="93"/>
      <c r="C1" s="93"/>
      <c r="D1" s="93"/>
      <c r="E1" s="93"/>
      <c r="F1" s="93"/>
      <c r="G1" s="93"/>
      <c r="H1" s="93"/>
    </row>
    <row r="3" spans="1:8" s="16" customFormat="1" x14ac:dyDescent="0.2">
      <c r="A3" s="17" t="s">
        <v>1</v>
      </c>
      <c r="B3" s="18" t="s">
        <v>2</v>
      </c>
      <c r="C3" s="18" t="s">
        <v>3</v>
      </c>
      <c r="D3" s="18" t="s">
        <v>4</v>
      </c>
      <c r="E3" s="18" t="s">
        <v>5</v>
      </c>
      <c r="F3" s="17" t="s">
        <v>6</v>
      </c>
      <c r="G3" s="19" t="s">
        <v>7</v>
      </c>
    </row>
    <row r="4" spans="1:8" ht="22" x14ac:dyDescent="0.3">
      <c r="A4" s="91" t="s">
        <v>12</v>
      </c>
      <c r="B4" s="91"/>
      <c r="C4" s="91"/>
      <c r="D4" s="91"/>
      <c r="E4" s="91"/>
      <c r="F4" s="91"/>
      <c r="G4" s="91"/>
    </row>
    <row r="5" spans="1:8" x14ac:dyDescent="0.2">
      <c r="A5" s="20" t="s">
        <v>8</v>
      </c>
      <c r="B5" s="21" t="s">
        <v>20</v>
      </c>
      <c r="C5" s="22" t="s">
        <v>19</v>
      </c>
      <c r="D5" s="21" t="s">
        <v>28</v>
      </c>
      <c r="E5" s="20" t="s">
        <v>29</v>
      </c>
      <c r="F5" s="21" t="s">
        <v>36</v>
      </c>
      <c r="G5" s="20" t="s">
        <v>38</v>
      </c>
    </row>
    <row r="6" spans="1:8" x14ac:dyDescent="0.2">
      <c r="A6" s="20" t="s">
        <v>9</v>
      </c>
      <c r="B6" s="21" t="s">
        <v>20</v>
      </c>
      <c r="C6" s="22" t="s">
        <v>22</v>
      </c>
      <c r="D6" s="21" t="s">
        <v>28</v>
      </c>
      <c r="E6" s="20" t="s">
        <v>30</v>
      </c>
      <c r="F6" s="21" t="s">
        <v>36</v>
      </c>
      <c r="G6" s="20" t="s">
        <v>39</v>
      </c>
    </row>
    <row r="7" spans="1:8" x14ac:dyDescent="0.2">
      <c r="A7" s="20" t="s">
        <v>10</v>
      </c>
      <c r="B7" s="21" t="s">
        <v>20</v>
      </c>
      <c r="C7" s="22" t="s">
        <v>21</v>
      </c>
      <c r="D7" s="21" t="s">
        <v>28</v>
      </c>
      <c r="E7" s="20" t="s">
        <v>30</v>
      </c>
      <c r="F7" s="21" t="s">
        <v>36</v>
      </c>
      <c r="G7" s="20" t="s">
        <v>40</v>
      </c>
    </row>
    <row r="8" spans="1:8" x14ac:dyDescent="0.2">
      <c r="A8" s="20" t="s">
        <v>11</v>
      </c>
      <c r="B8" s="21" t="s">
        <v>20</v>
      </c>
      <c r="C8" s="23">
        <v>46184</v>
      </c>
      <c r="D8" s="21" t="s">
        <v>23</v>
      </c>
      <c r="E8" s="20" t="s">
        <v>31</v>
      </c>
      <c r="F8" s="21" t="s">
        <v>36</v>
      </c>
      <c r="G8" s="20" t="s">
        <v>41</v>
      </c>
    </row>
    <row r="9" spans="1:8" x14ac:dyDescent="0.2">
      <c r="A9" s="20" t="s">
        <v>13</v>
      </c>
      <c r="B9" s="21" t="s">
        <v>20</v>
      </c>
      <c r="C9" s="23">
        <v>46185</v>
      </c>
      <c r="D9" s="21" t="s">
        <v>23</v>
      </c>
      <c r="E9" s="20" t="s">
        <v>32</v>
      </c>
      <c r="F9" s="21" t="s">
        <v>36</v>
      </c>
      <c r="G9" s="20" t="s">
        <v>42</v>
      </c>
    </row>
    <row r="10" spans="1:8" x14ac:dyDescent="0.2">
      <c r="A10" s="20" t="s">
        <v>14</v>
      </c>
      <c r="B10" s="21" t="s">
        <v>20</v>
      </c>
      <c r="C10" s="22">
        <v>135</v>
      </c>
      <c r="D10" s="21" t="s">
        <v>24</v>
      </c>
      <c r="E10" s="20" t="s">
        <v>31</v>
      </c>
      <c r="F10" s="21" t="s">
        <v>36</v>
      </c>
      <c r="G10" s="20" t="s">
        <v>43</v>
      </c>
    </row>
    <row r="11" spans="1:8" x14ac:dyDescent="0.2">
      <c r="A11" s="20" t="s">
        <v>61</v>
      </c>
      <c r="B11" s="21" t="s">
        <v>20</v>
      </c>
      <c r="C11" s="22">
        <v>555.55600000000004</v>
      </c>
      <c r="D11" s="21" t="s">
        <v>25</v>
      </c>
      <c r="E11" s="20" t="s">
        <v>31</v>
      </c>
      <c r="F11" s="21" t="s">
        <v>36</v>
      </c>
      <c r="G11" s="20" t="s">
        <v>44</v>
      </c>
    </row>
    <row r="12" spans="1:8" x14ac:dyDescent="0.2">
      <c r="A12" s="20" t="s">
        <v>15</v>
      </c>
      <c r="B12" s="21" t="s">
        <v>20</v>
      </c>
      <c r="C12" s="24">
        <f>C10*C11</f>
        <v>75000.060000000012</v>
      </c>
      <c r="D12" s="21" t="s">
        <v>26</v>
      </c>
      <c r="E12" s="20" t="s">
        <v>33</v>
      </c>
      <c r="F12" s="21" t="s">
        <v>36</v>
      </c>
      <c r="G12" s="20" t="s">
        <v>45</v>
      </c>
    </row>
    <row r="13" spans="1:8" x14ac:dyDescent="0.2">
      <c r="A13" s="20" t="s">
        <v>16</v>
      </c>
      <c r="B13" s="21" t="s">
        <v>20</v>
      </c>
      <c r="C13" s="22">
        <v>83.33</v>
      </c>
      <c r="D13" s="21" t="s">
        <v>25</v>
      </c>
      <c r="E13" s="20" t="s">
        <v>31</v>
      </c>
      <c r="F13" s="21" t="s">
        <v>37</v>
      </c>
      <c r="G13" s="20" t="s">
        <v>126</v>
      </c>
    </row>
    <row r="14" spans="1:8" x14ac:dyDescent="0.2">
      <c r="A14" s="20" t="s">
        <v>90</v>
      </c>
      <c r="B14" s="21" t="s">
        <v>20</v>
      </c>
      <c r="C14" s="24">
        <f>C12+(C13*C10)</f>
        <v>86249.610000000015</v>
      </c>
      <c r="D14" s="21" t="s">
        <v>26</v>
      </c>
      <c r="E14" s="20" t="s">
        <v>34</v>
      </c>
      <c r="F14" s="21" t="s">
        <v>37</v>
      </c>
      <c r="G14" s="20" t="s">
        <v>46</v>
      </c>
    </row>
    <row r="15" spans="1:8" x14ac:dyDescent="0.2">
      <c r="A15" s="20" t="s">
        <v>17</v>
      </c>
      <c r="B15" s="21" t="s">
        <v>20</v>
      </c>
      <c r="C15" s="22" t="s">
        <v>127</v>
      </c>
      <c r="D15" s="21" t="s">
        <v>27</v>
      </c>
      <c r="E15" s="20" t="s">
        <v>35</v>
      </c>
      <c r="F15" s="21" t="s">
        <v>36</v>
      </c>
      <c r="G15" s="20" t="s">
        <v>47</v>
      </c>
    </row>
    <row r="16" spans="1:8" x14ac:dyDescent="0.2">
      <c r="A16" s="20" t="s">
        <v>18</v>
      </c>
      <c r="B16" s="21" t="s">
        <v>20</v>
      </c>
      <c r="C16" s="96" t="s">
        <v>703</v>
      </c>
      <c r="D16" s="21" t="s">
        <v>28</v>
      </c>
      <c r="E16" s="20" t="s">
        <v>35</v>
      </c>
      <c r="F16" s="21" t="s">
        <v>36</v>
      </c>
      <c r="G16" s="20" t="s">
        <v>48</v>
      </c>
    </row>
    <row r="17" spans="1:7" x14ac:dyDescent="0.2">
      <c r="C17" s="96"/>
    </row>
    <row r="18" spans="1:7" ht="22" x14ac:dyDescent="0.3">
      <c r="A18" s="91" t="s">
        <v>49</v>
      </c>
      <c r="B18" s="91"/>
      <c r="C18" s="91"/>
      <c r="D18" s="91"/>
      <c r="E18" s="91"/>
      <c r="F18" s="91"/>
      <c r="G18" s="91"/>
    </row>
    <row r="19" spans="1:7" ht="76" customHeight="1" x14ac:dyDescent="0.2">
      <c r="A19" s="25" t="s">
        <v>64</v>
      </c>
      <c r="B19" s="26" t="s">
        <v>20</v>
      </c>
      <c r="C19" s="27" t="s">
        <v>51</v>
      </c>
      <c r="D19" s="26" t="s">
        <v>28</v>
      </c>
      <c r="E19" s="26" t="s">
        <v>55</v>
      </c>
      <c r="F19" s="26" t="s">
        <v>36</v>
      </c>
      <c r="G19" s="28" t="s">
        <v>56</v>
      </c>
    </row>
    <row r="20" spans="1:7" ht="68" x14ac:dyDescent="0.2">
      <c r="A20" s="25" t="s">
        <v>63</v>
      </c>
      <c r="B20" s="26" t="s">
        <v>20</v>
      </c>
      <c r="C20" s="27" t="s">
        <v>52</v>
      </c>
      <c r="D20" s="26" t="s">
        <v>28</v>
      </c>
      <c r="E20" s="26" t="s">
        <v>55</v>
      </c>
      <c r="F20" s="26" t="s">
        <v>36</v>
      </c>
      <c r="G20" s="28" t="s">
        <v>57</v>
      </c>
    </row>
    <row r="21" spans="1:7" ht="51" x14ac:dyDescent="0.2">
      <c r="A21" s="25" t="s">
        <v>65</v>
      </c>
      <c r="B21" s="26" t="s">
        <v>20</v>
      </c>
      <c r="C21" s="27" t="s">
        <v>53</v>
      </c>
      <c r="D21" s="26" t="s">
        <v>28</v>
      </c>
      <c r="E21" s="26" t="s">
        <v>55</v>
      </c>
      <c r="F21" s="26" t="s">
        <v>62</v>
      </c>
      <c r="G21" s="28" t="s">
        <v>58</v>
      </c>
    </row>
    <row r="22" spans="1:7" ht="68" x14ac:dyDescent="0.2">
      <c r="A22" s="25" t="s">
        <v>50</v>
      </c>
      <c r="B22" s="26" t="s">
        <v>20</v>
      </c>
      <c r="C22" s="27" t="s">
        <v>54</v>
      </c>
      <c r="D22" s="26" t="s">
        <v>28</v>
      </c>
      <c r="E22" s="26" t="s">
        <v>77</v>
      </c>
      <c r="F22" s="26" t="s">
        <v>62</v>
      </c>
      <c r="G22" s="28" t="s">
        <v>59</v>
      </c>
    </row>
    <row r="24" spans="1:7" ht="22" x14ac:dyDescent="0.3">
      <c r="A24" s="91" t="s">
        <v>60</v>
      </c>
      <c r="B24" s="91"/>
      <c r="C24" s="91"/>
      <c r="D24" s="91"/>
      <c r="E24" s="91"/>
      <c r="F24" s="91"/>
      <c r="G24" s="91"/>
    </row>
    <row r="25" spans="1:7" x14ac:dyDescent="0.2">
      <c r="A25" s="25" t="s">
        <v>66</v>
      </c>
      <c r="B25" s="26" t="s">
        <v>20</v>
      </c>
      <c r="C25" s="24" cm="1">
        <f t="array" ref="C25">_xll.PBF(B25,"Total Revenue","FY","2025Y","","USD","")/1000000</f>
        <v>18674</v>
      </c>
      <c r="D25" s="26" t="s">
        <v>26</v>
      </c>
      <c r="E25" s="26" t="s">
        <v>75</v>
      </c>
      <c r="F25" s="26" t="s">
        <v>36</v>
      </c>
      <c r="G25" s="20" t="s">
        <v>79</v>
      </c>
    </row>
    <row r="26" spans="1:7" x14ac:dyDescent="0.2">
      <c r="A26" s="25" t="s">
        <v>67</v>
      </c>
      <c r="B26" s="26" t="s">
        <v>20</v>
      </c>
      <c r="C26" s="59" cm="1">
        <f t="array" ref="C26">_xll.PBF(B25,"Revenue % Growth","FY","2025Y","","USD","")</f>
        <v>0.3324295397788084</v>
      </c>
      <c r="D26" s="26" t="s">
        <v>89</v>
      </c>
      <c r="E26" s="26" t="s">
        <v>75</v>
      </c>
      <c r="F26" s="26" t="s">
        <v>36</v>
      </c>
      <c r="G26" s="20" t="s">
        <v>80</v>
      </c>
    </row>
    <row r="27" spans="1:7" x14ac:dyDescent="0.2">
      <c r="A27" s="25" t="s">
        <v>68</v>
      </c>
      <c r="B27" s="26" t="s">
        <v>20</v>
      </c>
      <c r="C27" s="24" cm="1">
        <f t="array" ref="C27">_xll.PBF(B25,"Total Revenue","FQ","2026Q1","","USD","")/1000000</f>
        <v>4694</v>
      </c>
      <c r="D27" s="26" t="s">
        <v>26</v>
      </c>
      <c r="E27" s="26" t="s">
        <v>75</v>
      </c>
      <c r="F27" s="26" t="s">
        <v>36</v>
      </c>
      <c r="G27" s="20" t="s">
        <v>81</v>
      </c>
    </row>
    <row r="28" spans="1:7" x14ac:dyDescent="0.2">
      <c r="A28" s="25" t="s">
        <v>69</v>
      </c>
      <c r="B28" s="26" t="s">
        <v>20</v>
      </c>
      <c r="C28" s="59" cm="1">
        <f t="array" ref="C28">_xll.PBF(B25,"Revenue % Growth","FQ","2026Q1","","USD","")</f>
        <v>0.15416769117285467</v>
      </c>
      <c r="D28" s="26" t="s">
        <v>89</v>
      </c>
      <c r="E28" s="26" t="s">
        <v>75</v>
      </c>
      <c r="F28" s="26" t="s">
        <v>36</v>
      </c>
      <c r="G28" s="20" t="s">
        <v>80</v>
      </c>
    </row>
    <row r="29" spans="1:7" x14ac:dyDescent="0.2">
      <c r="A29" s="25" t="s">
        <v>70</v>
      </c>
      <c r="B29" s="26" t="s">
        <v>20</v>
      </c>
      <c r="C29" s="24" cm="1">
        <f t="array" ref="C29">_xll.PBF(B29,"EBITDA (Normalized)","FY","2025Y","","USD","")/1000000</f>
        <v>6584</v>
      </c>
      <c r="D29" s="26" t="s">
        <v>26</v>
      </c>
      <c r="E29" s="26" t="s">
        <v>75</v>
      </c>
      <c r="F29" s="26" t="s">
        <v>37</v>
      </c>
      <c r="G29" s="20" t="s">
        <v>82</v>
      </c>
    </row>
    <row r="30" spans="1:7" x14ac:dyDescent="0.2">
      <c r="A30" s="25" t="s">
        <v>371</v>
      </c>
      <c r="B30" s="26" t="s">
        <v>20</v>
      </c>
      <c r="C30" s="22">
        <v>-2589</v>
      </c>
      <c r="D30" s="26" t="s">
        <v>26</v>
      </c>
      <c r="E30" s="26" t="s">
        <v>75</v>
      </c>
      <c r="F30" s="26" t="s">
        <v>36</v>
      </c>
      <c r="G30" s="20" t="s">
        <v>83</v>
      </c>
    </row>
    <row r="31" spans="1:7" x14ac:dyDescent="0.2">
      <c r="A31" s="25" t="s">
        <v>71</v>
      </c>
      <c r="B31" s="26" t="s">
        <v>20</v>
      </c>
      <c r="C31" s="24">
        <v>20737</v>
      </c>
      <c r="D31" s="26" t="s">
        <v>26</v>
      </c>
      <c r="E31" s="26" t="s">
        <v>75</v>
      </c>
      <c r="F31" s="26" t="s">
        <v>36</v>
      </c>
      <c r="G31" s="20" t="s">
        <v>84</v>
      </c>
    </row>
    <row r="32" spans="1:7" x14ac:dyDescent="0.2">
      <c r="A32" s="25" t="s">
        <v>72</v>
      </c>
      <c r="B32" s="26" t="s">
        <v>20</v>
      </c>
      <c r="C32" s="31" cm="1">
        <f t="array" ref="C32">_xll.PBF(B32,"Cash and Cash Equivalents","TTM","24-Jun-2026","","USD","t")/1000000</f>
        <v>15852</v>
      </c>
      <c r="D32" s="26" t="s">
        <v>26</v>
      </c>
      <c r="E32" s="26" t="s">
        <v>75</v>
      </c>
      <c r="F32" s="26" t="s">
        <v>36</v>
      </c>
      <c r="G32" s="20" t="s">
        <v>85</v>
      </c>
    </row>
    <row r="33" spans="1:7" x14ac:dyDescent="0.2">
      <c r="A33" s="25" t="s">
        <v>73</v>
      </c>
      <c r="B33" s="26" t="s">
        <v>20</v>
      </c>
      <c r="C33" s="22">
        <v>29111</v>
      </c>
      <c r="D33" s="26" t="s">
        <v>26</v>
      </c>
      <c r="E33" s="26" t="s">
        <v>75</v>
      </c>
      <c r="F33" s="26" t="s">
        <v>36</v>
      </c>
      <c r="G33" s="20" t="s">
        <v>85</v>
      </c>
    </row>
    <row r="34" spans="1:7" x14ac:dyDescent="0.2">
      <c r="A34" s="25" t="s">
        <v>91</v>
      </c>
      <c r="B34" s="26" t="s">
        <v>20</v>
      </c>
      <c r="C34" s="22">
        <v>11387</v>
      </c>
      <c r="D34" s="26" t="s">
        <v>26</v>
      </c>
      <c r="E34" s="26" t="s">
        <v>76</v>
      </c>
      <c r="F34" s="26" t="s">
        <v>78</v>
      </c>
      <c r="G34" s="20" t="s">
        <v>86</v>
      </c>
    </row>
    <row r="35" spans="1:7" x14ac:dyDescent="0.2">
      <c r="A35" s="25" t="s">
        <v>372</v>
      </c>
      <c r="B35" s="26" t="s">
        <v>20</v>
      </c>
      <c r="C35" s="22">
        <v>4086</v>
      </c>
      <c r="D35" s="26" t="s">
        <v>26</v>
      </c>
      <c r="E35" s="26" t="s">
        <v>76</v>
      </c>
      <c r="F35" s="26" t="s">
        <v>78</v>
      </c>
      <c r="G35" s="20" t="s">
        <v>86</v>
      </c>
    </row>
    <row r="36" spans="1:7" x14ac:dyDescent="0.2">
      <c r="A36" s="25" t="s">
        <v>366</v>
      </c>
      <c r="B36" s="26" t="s">
        <v>20</v>
      </c>
      <c r="C36" s="22">
        <v>3201</v>
      </c>
      <c r="D36" s="26" t="s">
        <v>26</v>
      </c>
      <c r="E36" s="26" t="s">
        <v>367</v>
      </c>
      <c r="F36" s="26" t="s">
        <v>36</v>
      </c>
      <c r="G36" s="20" t="s">
        <v>368</v>
      </c>
    </row>
    <row r="37" spans="1:7" x14ac:dyDescent="0.2">
      <c r="A37" s="25" t="s">
        <v>373</v>
      </c>
      <c r="B37" s="26" t="s">
        <v>20</v>
      </c>
      <c r="C37" s="22">
        <v>7168</v>
      </c>
      <c r="D37" s="26" t="s">
        <v>26</v>
      </c>
      <c r="E37" s="26" t="s">
        <v>75</v>
      </c>
      <c r="F37" s="26" t="s">
        <v>37</v>
      </c>
      <c r="G37" s="20" t="s">
        <v>87</v>
      </c>
    </row>
    <row r="38" spans="1:7" x14ac:dyDescent="0.2">
      <c r="A38" s="25" t="s">
        <v>369</v>
      </c>
      <c r="B38" s="26" t="s">
        <v>20</v>
      </c>
      <c r="C38" s="22">
        <v>-1237</v>
      </c>
      <c r="D38" s="26" t="s">
        <v>26</v>
      </c>
      <c r="E38" s="26" t="s">
        <v>367</v>
      </c>
      <c r="F38" s="26" t="s">
        <v>36</v>
      </c>
      <c r="G38" s="20" t="s">
        <v>370</v>
      </c>
    </row>
    <row r="39" spans="1:7" x14ac:dyDescent="0.2">
      <c r="A39" s="25" t="s">
        <v>74</v>
      </c>
      <c r="B39" s="26" t="s">
        <v>20</v>
      </c>
      <c r="C39" s="95" t="s">
        <v>374</v>
      </c>
      <c r="D39" s="26" t="s">
        <v>28</v>
      </c>
      <c r="E39" s="26" t="s">
        <v>77</v>
      </c>
      <c r="F39" s="26" t="s">
        <v>62</v>
      </c>
      <c r="G39" s="20" t="s">
        <v>88</v>
      </c>
    </row>
    <row r="40" spans="1:7" x14ac:dyDescent="0.2">
      <c r="A40" s="25"/>
      <c r="B40" s="26"/>
      <c r="C40" s="95"/>
      <c r="D40" s="26"/>
      <c r="E40" s="26"/>
      <c r="F40" s="26"/>
    </row>
    <row r="41" spans="1:7" x14ac:dyDescent="0.2">
      <c r="A41" s="25"/>
      <c r="B41" s="26"/>
      <c r="C41" s="95"/>
      <c r="D41" s="26"/>
      <c r="E41" s="26"/>
      <c r="F41" s="26"/>
    </row>
    <row r="42" spans="1:7" x14ac:dyDescent="0.2">
      <c r="A42" s="25"/>
      <c r="B42" s="26"/>
      <c r="C42" s="95"/>
      <c r="D42" s="26"/>
      <c r="E42" s="26"/>
      <c r="F42" s="26"/>
    </row>
    <row r="43" spans="1:7" x14ac:dyDescent="0.2">
      <c r="A43" s="25"/>
      <c r="B43" s="26"/>
      <c r="C43" s="95"/>
      <c r="D43" s="26"/>
      <c r="E43" s="26"/>
      <c r="F43" s="26"/>
    </row>
    <row r="44" spans="1:7" x14ac:dyDescent="0.2">
      <c r="C44" s="95"/>
    </row>
    <row r="45" spans="1:7" ht="22" x14ac:dyDescent="0.3">
      <c r="A45" s="94" t="s">
        <v>92</v>
      </c>
      <c r="B45" s="94"/>
      <c r="C45" s="94"/>
      <c r="D45" s="94"/>
      <c r="E45" s="94"/>
      <c r="F45" s="94"/>
      <c r="G45" s="94"/>
    </row>
    <row r="46" spans="1:7" x14ac:dyDescent="0.2">
      <c r="A46" s="25" t="s">
        <v>135</v>
      </c>
      <c r="B46" s="26" t="s">
        <v>20</v>
      </c>
      <c r="C46" s="31">
        <v>13159.198507999999</v>
      </c>
      <c r="D46" s="21" t="s">
        <v>102</v>
      </c>
      <c r="E46" s="26" t="s">
        <v>104</v>
      </c>
      <c r="F46" s="26" t="s">
        <v>36</v>
      </c>
      <c r="G46" s="25" t="s">
        <v>108</v>
      </c>
    </row>
    <row r="47" spans="1:7" x14ac:dyDescent="0.2">
      <c r="A47" s="25" t="s">
        <v>93</v>
      </c>
      <c r="B47" s="26" t="s">
        <v>20</v>
      </c>
      <c r="C47" s="29">
        <f>C10*C46</f>
        <v>1776491.7985799999</v>
      </c>
      <c r="D47" s="21" t="s">
        <v>26</v>
      </c>
      <c r="E47" s="26" t="s">
        <v>34</v>
      </c>
      <c r="F47" s="26" t="s">
        <v>36</v>
      </c>
      <c r="G47" s="25" t="s">
        <v>109</v>
      </c>
    </row>
    <row r="48" spans="1:7" x14ac:dyDescent="0.2">
      <c r="A48" s="25" t="s">
        <v>94</v>
      </c>
      <c r="B48" s="26" t="s">
        <v>20</v>
      </c>
      <c r="C48" s="36" cm="1">
        <f t="array" ref="C48">_xll.PBF(B48,"Cash and Cash Equivalents","TTM","24-Jun-2026","","USD","t")/1000000</f>
        <v>15852</v>
      </c>
      <c r="D48" s="21" t="s">
        <v>26</v>
      </c>
      <c r="E48" s="26" t="s">
        <v>105</v>
      </c>
      <c r="F48" s="26" t="s">
        <v>36</v>
      </c>
      <c r="G48" s="25" t="s">
        <v>110</v>
      </c>
    </row>
    <row r="49" spans="1:7" x14ac:dyDescent="0.2">
      <c r="A49" s="25" t="s">
        <v>379</v>
      </c>
      <c r="B49" s="26" t="s">
        <v>380</v>
      </c>
      <c r="C49" s="36">
        <f>C48+C12</f>
        <v>90852.060000000012</v>
      </c>
      <c r="E49" s="26"/>
      <c r="F49" s="26"/>
      <c r="G49" s="25"/>
    </row>
    <row r="50" spans="1:7" x14ac:dyDescent="0.2">
      <c r="A50" s="25" t="s">
        <v>95</v>
      </c>
      <c r="B50" s="26" t="s">
        <v>20</v>
      </c>
      <c r="C50" s="36">
        <f>C33</f>
        <v>29111</v>
      </c>
      <c r="D50" s="21" t="s">
        <v>26</v>
      </c>
      <c r="E50" s="26" t="s">
        <v>106</v>
      </c>
      <c r="F50" s="26" t="s">
        <v>36</v>
      </c>
      <c r="G50" s="25" t="s">
        <v>110</v>
      </c>
    </row>
    <row r="51" spans="1:7" x14ac:dyDescent="0.2">
      <c r="A51" s="25" t="s">
        <v>365</v>
      </c>
      <c r="B51" s="26" t="s">
        <v>20</v>
      </c>
      <c r="C51" s="29">
        <f>C47+C50-C49</f>
        <v>1714750.7385799999</v>
      </c>
      <c r="D51" s="21" t="s">
        <v>26</v>
      </c>
      <c r="E51" s="26" t="s">
        <v>34</v>
      </c>
      <c r="F51" s="26" t="s">
        <v>36</v>
      </c>
      <c r="G51" s="25" t="s">
        <v>136</v>
      </c>
    </row>
    <row r="52" spans="1:7" x14ac:dyDescent="0.2">
      <c r="A52" s="25" t="s">
        <v>96</v>
      </c>
      <c r="B52" s="26" t="s">
        <v>20</v>
      </c>
      <c r="C52" s="29">
        <f>IFERROR(C51/C25,"")</f>
        <v>91.825572377637357</v>
      </c>
      <c r="E52" s="26" t="s">
        <v>34</v>
      </c>
      <c r="F52" s="26" t="s">
        <v>36</v>
      </c>
      <c r="G52" s="25" t="s">
        <v>111</v>
      </c>
    </row>
    <row r="53" spans="1:7" x14ac:dyDescent="0.2">
      <c r="A53" s="25" t="s">
        <v>97</v>
      </c>
      <c r="B53" s="26" t="s">
        <v>20</v>
      </c>
      <c r="C53" s="29">
        <f>IFERROR(C51/C29,"")</f>
        <v>260.44209273693804</v>
      </c>
      <c r="E53" s="26" t="s">
        <v>34</v>
      </c>
      <c r="F53" s="26" t="s">
        <v>37</v>
      </c>
      <c r="G53" s="25" t="s">
        <v>112</v>
      </c>
    </row>
    <row r="54" spans="1:7" x14ac:dyDescent="0.2">
      <c r="A54" s="25" t="s">
        <v>128</v>
      </c>
      <c r="B54" s="26" t="s">
        <v>20</v>
      </c>
      <c r="C54" s="31" cm="1">
        <f t="array" ref="C54">_xll.PBM(B54,"Close Price","12-Jun-2026","12-Jun-2026","0","d","asc","USD","")</f>
        <v>160.94999999999999</v>
      </c>
      <c r="D54" s="21" t="s">
        <v>103</v>
      </c>
      <c r="E54" s="26" t="s">
        <v>107</v>
      </c>
      <c r="F54" s="26" t="s">
        <v>36</v>
      </c>
      <c r="G54" s="25" t="s">
        <v>113</v>
      </c>
    </row>
    <row r="55" spans="1:7" x14ac:dyDescent="0.2">
      <c r="A55" s="25" t="s">
        <v>98</v>
      </c>
      <c r="B55" s="26" t="s">
        <v>20</v>
      </c>
      <c r="C55" s="32">
        <f>IF(OR(C54="",C46=""),"",C54*C46)</f>
        <v>2117972.9998625997</v>
      </c>
      <c r="D55" s="21" t="s">
        <v>26</v>
      </c>
      <c r="E55" s="26" t="s">
        <v>34</v>
      </c>
      <c r="F55" s="26" t="s">
        <v>36</v>
      </c>
      <c r="G55" s="25" t="s">
        <v>165</v>
      </c>
    </row>
    <row r="56" spans="1:7" x14ac:dyDescent="0.2">
      <c r="A56" s="25" t="s">
        <v>99</v>
      </c>
      <c r="B56" s="26" t="s">
        <v>20</v>
      </c>
      <c r="C56" s="29">
        <f>IF(C55="","",C55+C50-C49)</f>
        <v>2056231.9398625996</v>
      </c>
      <c r="D56" s="21" t="s">
        <v>26</v>
      </c>
      <c r="E56" s="26" t="s">
        <v>34</v>
      </c>
      <c r="F56" s="26" t="s">
        <v>36</v>
      </c>
      <c r="G56" s="25" t="s">
        <v>114</v>
      </c>
    </row>
    <row r="57" spans="1:7" x14ac:dyDescent="0.2">
      <c r="A57" s="25" t="s">
        <v>100</v>
      </c>
      <c r="B57" s="26" t="s">
        <v>20</v>
      </c>
      <c r="C57" s="29">
        <f>IFERROR(C56/C25,"")</f>
        <v>110.11202419741885</v>
      </c>
      <c r="E57" s="26" t="s">
        <v>34</v>
      </c>
      <c r="F57" s="26" t="s">
        <v>36</v>
      </c>
      <c r="G57" s="25" t="s">
        <v>115</v>
      </c>
    </row>
    <row r="58" spans="1:7" x14ac:dyDescent="0.2">
      <c r="A58" s="25" t="s">
        <v>101</v>
      </c>
      <c r="B58" s="26" t="s">
        <v>20</v>
      </c>
      <c r="C58" s="29">
        <f>IF(OR(C54="",C10="",C11=""),"",(C54-C10)*C11)</f>
        <v>14416.678199999995</v>
      </c>
      <c r="D58" s="21" t="s">
        <v>26</v>
      </c>
      <c r="E58" s="26" t="s">
        <v>34</v>
      </c>
      <c r="F58" s="26" t="s">
        <v>36</v>
      </c>
      <c r="G58" s="25" t="s">
        <v>116</v>
      </c>
    </row>
    <row r="59" spans="1:7" x14ac:dyDescent="0.2">
      <c r="C59" s="35"/>
    </row>
    <row r="60" spans="1:7" ht="22" x14ac:dyDescent="0.3">
      <c r="A60" s="91" t="s">
        <v>117</v>
      </c>
      <c r="B60" s="92"/>
      <c r="C60" s="92"/>
      <c r="D60" s="92"/>
      <c r="E60" s="92"/>
      <c r="F60" s="92"/>
      <c r="G60" s="92"/>
    </row>
    <row r="61" spans="1:7" x14ac:dyDescent="0.2">
      <c r="A61" s="25" t="s">
        <v>118</v>
      </c>
      <c r="B61" s="26" t="s">
        <v>20</v>
      </c>
      <c r="C61" s="30" t="s">
        <v>20</v>
      </c>
    </row>
    <row r="62" spans="1:7" x14ac:dyDescent="0.2">
      <c r="A62" s="25" t="s">
        <v>119</v>
      </c>
      <c r="B62" s="26" t="s">
        <v>20</v>
      </c>
      <c r="C62" s="31" cm="1">
        <f t="array" ref="C62">_xll.PBM(B61,"Close Price","21-Jun-2026","21-Jun-2026","0","d","asc","USD","")</f>
        <v>185</v>
      </c>
    </row>
    <row r="63" spans="1:7" x14ac:dyDescent="0.2">
      <c r="A63" s="25" t="s">
        <v>120</v>
      </c>
      <c r="B63" s="26" t="s">
        <v>20</v>
      </c>
      <c r="C63" s="31" cm="1">
        <f t="array" ref="C63">_xll.PBM(C61,"Market Cap","21-Jun-2026","21-Jun-2026","0","d","asc","USD","/1000000")</f>
        <v>2437224.65013</v>
      </c>
    </row>
    <row r="64" spans="1:7" x14ac:dyDescent="0.2">
      <c r="A64" s="25" t="s">
        <v>121</v>
      </c>
      <c r="B64" s="26" t="s">
        <v>20</v>
      </c>
      <c r="C64" s="32" t="s">
        <v>247</v>
      </c>
    </row>
    <row r="65" spans="1:7" x14ac:dyDescent="0.2">
      <c r="A65" s="25" t="s">
        <v>122</v>
      </c>
      <c r="B65" s="26" t="s">
        <v>20</v>
      </c>
      <c r="C65" s="31" cm="1">
        <f t="array" ref="C65">_xll.PBF($C$61,"Total Revenue","TTM","21-Jun-2026","","USD","t")/1000000</f>
        <v>19301</v>
      </c>
    </row>
    <row r="66" spans="1:7" x14ac:dyDescent="0.2">
      <c r="A66" s="25" t="s">
        <v>123</v>
      </c>
      <c r="B66" s="26" t="s">
        <v>20</v>
      </c>
      <c r="C66" s="33" cm="1">
        <f t="array" ref="C66">_xll.PBF($C$61,"EBITDA (Analyst Normalized)","TTM","21-Jun-2026","","USD","t")/1000000</f>
        <v>1288</v>
      </c>
    </row>
    <row r="67" spans="1:7" x14ac:dyDescent="0.2">
      <c r="A67" s="25" t="s">
        <v>125</v>
      </c>
      <c r="B67" s="26" t="s">
        <v>20</v>
      </c>
      <c r="C67" s="34" cm="1">
        <f t="array" ref="C67">_xll.PBD($C$61,"Most Recent Post Valuation","","USD","/1000000","")</f>
        <v>1776491.7985799999</v>
      </c>
    </row>
    <row r="68" spans="1:7" x14ac:dyDescent="0.2">
      <c r="A68" s="25" t="s">
        <v>124</v>
      </c>
      <c r="B68" s="26" t="s">
        <v>20</v>
      </c>
      <c r="C68" s="87">
        <v>350000</v>
      </c>
    </row>
    <row r="70" spans="1:7" ht="22" x14ac:dyDescent="0.3">
      <c r="A70" s="91" t="s">
        <v>129</v>
      </c>
      <c r="B70" s="91"/>
      <c r="C70" s="91"/>
      <c r="D70" s="91"/>
      <c r="E70" s="91"/>
      <c r="F70" s="91"/>
      <c r="G70" s="91"/>
    </row>
    <row r="71" spans="1:7" x14ac:dyDescent="0.2">
      <c r="A71" s="25" t="s">
        <v>130</v>
      </c>
      <c r="C71" s="35">
        <f>IF(C54="","",IFERROR((C54/C10)-1,""))</f>
        <v>0.19222222222222207</v>
      </c>
    </row>
    <row r="72" spans="1:7" x14ac:dyDescent="0.2">
      <c r="A72" s="25" t="s">
        <v>131</v>
      </c>
      <c r="C72" s="35">
        <f>C52</f>
        <v>91.825572377637357</v>
      </c>
    </row>
    <row r="73" spans="1:7" x14ac:dyDescent="0.2">
      <c r="A73" s="25" t="s">
        <v>132</v>
      </c>
      <c r="C73" s="35">
        <f>C57</f>
        <v>110.11202419741885</v>
      </c>
    </row>
    <row r="74" spans="1:7" x14ac:dyDescent="0.2">
      <c r="A74" s="25" t="s">
        <v>133</v>
      </c>
      <c r="C74" s="35">
        <f>IFERROR((C55/C47)-1,"")</f>
        <v>0.19222222222222207</v>
      </c>
    </row>
    <row r="75" spans="1:7" x14ac:dyDescent="0.2">
      <c r="A75" s="25" t="s">
        <v>134</v>
      </c>
      <c r="C75" s="35">
        <f>IF(C58="","",C58)</f>
        <v>14416.678199999995</v>
      </c>
    </row>
    <row r="76" spans="1:7" ht="16" customHeight="1" x14ac:dyDescent="0.2">
      <c r="A76" s="38" t="s">
        <v>164</v>
      </c>
      <c r="B76" s="28"/>
      <c r="C76" s="90" t="s">
        <v>382</v>
      </c>
      <c r="D76" s="90"/>
      <c r="E76" s="90"/>
      <c r="F76" s="90"/>
      <c r="G76" s="28"/>
    </row>
    <row r="77" spans="1:7" ht="16" customHeight="1" x14ac:dyDescent="0.2">
      <c r="B77" s="39"/>
      <c r="C77" s="90"/>
      <c r="D77" s="90"/>
      <c r="E77" s="90"/>
      <c r="F77" s="90"/>
      <c r="G77" s="28"/>
    </row>
    <row r="78" spans="1:7" x14ac:dyDescent="0.2">
      <c r="A78" s="39"/>
      <c r="B78" s="39"/>
      <c r="C78" s="90"/>
      <c r="D78" s="90"/>
      <c r="E78" s="90"/>
      <c r="F78" s="90"/>
      <c r="G78" s="28"/>
    </row>
    <row r="79" spans="1:7" x14ac:dyDescent="0.2">
      <c r="A79" s="39"/>
      <c r="B79" s="39"/>
      <c r="C79" s="90"/>
      <c r="D79" s="90"/>
      <c r="E79" s="90"/>
      <c r="F79" s="90"/>
    </row>
    <row r="80" spans="1:7" x14ac:dyDescent="0.2">
      <c r="A80" s="39"/>
      <c r="B80" s="39"/>
      <c r="C80" s="90"/>
      <c r="D80" s="90"/>
      <c r="E80" s="90"/>
      <c r="F80" s="90"/>
    </row>
  </sheetData>
  <mergeCells count="10">
    <mergeCell ref="C76:F80"/>
    <mergeCell ref="A70:G70"/>
    <mergeCell ref="A60:G60"/>
    <mergeCell ref="A1:H1"/>
    <mergeCell ref="A4:G4"/>
    <mergeCell ref="A18:G18"/>
    <mergeCell ref="A24:G24"/>
    <mergeCell ref="A45:G45"/>
    <mergeCell ref="C39:C44"/>
    <mergeCell ref="C16:C17"/>
  </mergeCells>
  <phoneticPr fontId="2"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F5DC-726F-DF43-B8EC-21C7F921F727}">
  <dimension ref="A1:G21"/>
  <sheetViews>
    <sheetView showGridLines="0" workbookViewId="0">
      <pane ySplit="3" topLeftCell="A4" activePane="bottomLeft" state="frozen"/>
      <selection pane="bottomLeft" activeCell="E25" sqref="E25"/>
    </sheetView>
  </sheetViews>
  <sheetFormatPr baseColWidth="10" defaultColWidth="10.83203125" defaultRowHeight="16" x14ac:dyDescent="0.2"/>
  <cols>
    <col min="1" max="1" width="41.6640625" customWidth="1"/>
    <col min="2" max="2" width="20.33203125" customWidth="1"/>
    <col min="3" max="3" width="54.1640625" customWidth="1"/>
    <col min="5" max="5" width="15.1640625" customWidth="1"/>
    <col min="6" max="6" width="10.83203125" style="1"/>
    <col min="7" max="7" width="58" customWidth="1"/>
  </cols>
  <sheetData>
    <row r="1" spans="1:7" s="5" customFormat="1" ht="22" x14ac:dyDescent="0.3">
      <c r="A1" s="93" t="s">
        <v>137</v>
      </c>
      <c r="B1" s="93"/>
      <c r="C1" s="93"/>
      <c r="D1" s="93"/>
      <c r="E1" s="93"/>
      <c r="F1" s="93"/>
      <c r="G1" s="93"/>
    </row>
    <row r="3" spans="1:7" s="16" customFormat="1" x14ac:dyDescent="0.2">
      <c r="A3" s="17" t="s">
        <v>1</v>
      </c>
      <c r="B3" s="18" t="s">
        <v>147</v>
      </c>
      <c r="C3" s="18" t="s">
        <v>3</v>
      </c>
      <c r="D3" s="18" t="s">
        <v>4</v>
      </c>
      <c r="E3" s="18" t="s">
        <v>5</v>
      </c>
      <c r="F3" s="18" t="s">
        <v>6</v>
      </c>
      <c r="G3" s="19" t="s">
        <v>7</v>
      </c>
    </row>
    <row r="4" spans="1:7" ht="22" x14ac:dyDescent="0.3">
      <c r="A4" s="8" t="s">
        <v>138</v>
      </c>
    </row>
    <row r="5" spans="1:7" x14ac:dyDescent="0.2">
      <c r="A5" t="s">
        <v>125</v>
      </c>
      <c r="B5" s="1" t="s">
        <v>148</v>
      </c>
      <c r="C5" s="60">
        <f>'Deal Fact Sheet'!C68</f>
        <v>350000</v>
      </c>
      <c r="D5" s="1" t="s">
        <v>26</v>
      </c>
      <c r="E5" s="1" t="s">
        <v>153</v>
      </c>
      <c r="F5" s="1" t="s">
        <v>155</v>
      </c>
      <c r="G5" t="s">
        <v>163</v>
      </c>
    </row>
    <row r="6" spans="1:7" ht="17" x14ac:dyDescent="0.25">
      <c r="A6" t="s">
        <v>139</v>
      </c>
      <c r="B6" s="6" t="s">
        <v>149</v>
      </c>
      <c r="C6" s="15">
        <f>'Deal Fact Sheet'!C47</f>
        <v>1776491.7985799999</v>
      </c>
      <c r="D6" s="1" t="s">
        <v>26</v>
      </c>
      <c r="E6" s="1" t="s">
        <v>34</v>
      </c>
      <c r="F6" s="1" t="s">
        <v>36</v>
      </c>
      <c r="G6" t="s">
        <v>156</v>
      </c>
    </row>
    <row r="7" spans="1:7" ht="17" x14ac:dyDescent="0.25">
      <c r="A7" t="s">
        <v>140</v>
      </c>
      <c r="B7" s="6" t="s">
        <v>150</v>
      </c>
      <c r="C7" s="15">
        <f>'Deal Fact Sheet'!C55</f>
        <v>2117972.9998625997</v>
      </c>
      <c r="D7" s="1" t="s">
        <v>26</v>
      </c>
      <c r="E7" s="1" t="s">
        <v>34</v>
      </c>
      <c r="F7" s="1" t="s">
        <v>36</v>
      </c>
      <c r="G7" t="s">
        <v>157</v>
      </c>
    </row>
    <row r="8" spans="1:7" ht="17" x14ac:dyDescent="0.25">
      <c r="A8" t="s">
        <v>141</v>
      </c>
      <c r="B8" s="1" t="s">
        <v>151</v>
      </c>
      <c r="C8" s="88">
        <f>IFERROR((C6/C5)-1,"")</f>
        <v>4.0756908530857139</v>
      </c>
      <c r="D8" s="1" t="s">
        <v>89</v>
      </c>
      <c r="E8" s="1" t="s">
        <v>34</v>
      </c>
      <c r="F8" s="1" t="s">
        <v>155</v>
      </c>
      <c r="G8" t="s">
        <v>158</v>
      </c>
    </row>
    <row r="9" spans="1:7" ht="17" x14ac:dyDescent="0.25">
      <c r="A9" t="s">
        <v>142</v>
      </c>
      <c r="B9" s="1" t="s">
        <v>151</v>
      </c>
      <c r="C9" s="88">
        <f>IFERROR((C7/C5)-1,"")</f>
        <v>5.0513514281788563</v>
      </c>
      <c r="D9" s="1" t="s">
        <v>89</v>
      </c>
      <c r="E9" s="1" t="s">
        <v>34</v>
      </c>
      <c r="F9" s="1" t="s">
        <v>155</v>
      </c>
      <c r="G9" t="s">
        <v>159</v>
      </c>
    </row>
    <row r="10" spans="1:7" ht="17" x14ac:dyDescent="0.25">
      <c r="A10" t="s">
        <v>143</v>
      </c>
      <c r="B10" s="1" t="s">
        <v>151</v>
      </c>
      <c r="C10" s="89">
        <f>IFERROR((C7/C6)-1,"")</f>
        <v>0.19222222222222207</v>
      </c>
      <c r="D10" s="1" t="s">
        <v>89</v>
      </c>
      <c r="E10" s="1" t="s">
        <v>34</v>
      </c>
      <c r="F10" s="1" t="s">
        <v>36</v>
      </c>
      <c r="G10" t="s">
        <v>160</v>
      </c>
    </row>
    <row r="11" spans="1:7" ht="17" x14ac:dyDescent="0.25">
      <c r="A11" t="s">
        <v>144</v>
      </c>
      <c r="B11" s="1" t="s">
        <v>151</v>
      </c>
      <c r="C11" s="15">
        <f>C7-C6</f>
        <v>341481.20128259971</v>
      </c>
      <c r="D11" s="1" t="s">
        <v>26</v>
      </c>
      <c r="E11" s="1" t="s">
        <v>34</v>
      </c>
      <c r="F11" s="1" t="s">
        <v>36</v>
      </c>
      <c r="G11" t="s">
        <v>161</v>
      </c>
    </row>
    <row r="12" spans="1:7" ht="17" x14ac:dyDescent="0.25">
      <c r="A12" t="s">
        <v>145</v>
      </c>
      <c r="B12" s="6" t="s">
        <v>152</v>
      </c>
      <c r="C12" s="15">
        <f>'Deal Fact Sheet'!C58</f>
        <v>14416.678199999995</v>
      </c>
      <c r="D12" s="1" t="s">
        <v>26</v>
      </c>
      <c r="E12" s="1" t="s">
        <v>34</v>
      </c>
      <c r="F12" s="1" t="s">
        <v>36</v>
      </c>
      <c r="G12" t="s">
        <v>162</v>
      </c>
    </row>
    <row r="13" spans="1:7" ht="16" customHeight="1" x14ac:dyDescent="0.2">
      <c r="A13" t="s">
        <v>146</v>
      </c>
      <c r="B13" s="1" t="s">
        <v>151</v>
      </c>
      <c r="C13" s="97" t="s">
        <v>701</v>
      </c>
      <c r="D13" s="1" t="s">
        <v>28</v>
      </c>
      <c r="E13" s="1" t="s">
        <v>154</v>
      </c>
      <c r="F13" s="1" t="s">
        <v>62</v>
      </c>
    </row>
    <row r="14" spans="1:7" x14ac:dyDescent="0.2">
      <c r="C14" s="97"/>
    </row>
    <row r="15" spans="1:7" x14ac:dyDescent="0.2">
      <c r="C15" s="97"/>
    </row>
    <row r="16" spans="1:7" x14ac:dyDescent="0.2">
      <c r="C16" s="97"/>
    </row>
    <row r="17" spans="3:3" x14ac:dyDescent="0.2">
      <c r="C17" s="97"/>
    </row>
    <row r="18" spans="3:3" x14ac:dyDescent="0.2">
      <c r="C18" s="97"/>
    </row>
    <row r="21" spans="3:3" ht="17" x14ac:dyDescent="0.25">
      <c r="C21" s="15"/>
    </row>
  </sheetData>
  <mergeCells count="2">
    <mergeCell ref="A1:G1"/>
    <mergeCell ref="C13:C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883E9-DF70-5348-84E5-7D56A98EBBF5}">
  <dimension ref="A1:J29"/>
  <sheetViews>
    <sheetView showGridLines="0" workbookViewId="0">
      <pane ySplit="3" topLeftCell="A4" activePane="bottomLeft" state="frozen"/>
      <selection pane="bottomLeft" activeCell="C21" sqref="C21"/>
    </sheetView>
  </sheetViews>
  <sheetFormatPr baseColWidth="10" defaultColWidth="10.83203125" defaultRowHeight="16" x14ac:dyDescent="0.2"/>
  <cols>
    <col min="1" max="1" width="36" bestFit="1" customWidth="1"/>
    <col min="2" max="2" width="10.83203125" bestFit="1" customWidth="1"/>
    <col min="3" max="3" width="10.6640625" style="1" bestFit="1" customWidth="1"/>
    <col min="4" max="4" width="12.6640625" style="1" bestFit="1" customWidth="1"/>
    <col min="5" max="5" width="17" bestFit="1" customWidth="1"/>
    <col min="6" max="6" width="11.33203125" bestFit="1" customWidth="1"/>
    <col min="7" max="7" width="14.1640625" bestFit="1" customWidth="1"/>
    <col min="8" max="8" width="44.33203125" bestFit="1" customWidth="1"/>
  </cols>
  <sheetData>
    <row r="1" spans="1:10" s="5" customFormat="1" ht="22" x14ac:dyDescent="0.3">
      <c r="A1" s="93" t="s">
        <v>184</v>
      </c>
      <c r="B1" s="93"/>
      <c r="C1" s="93"/>
      <c r="D1" s="93"/>
      <c r="E1" s="93"/>
      <c r="F1" s="93"/>
      <c r="G1" s="93"/>
      <c r="H1" s="93"/>
      <c r="I1" s="2"/>
    </row>
    <row r="3" spans="1:10" s="5" customFormat="1" x14ac:dyDescent="0.2">
      <c r="A3" s="4" t="s">
        <v>166</v>
      </c>
      <c r="B3" s="4" t="s">
        <v>179</v>
      </c>
      <c r="C3" s="4" t="s">
        <v>167</v>
      </c>
      <c r="D3" s="4" t="s">
        <v>168</v>
      </c>
      <c r="E3" s="61" t="s">
        <v>169</v>
      </c>
      <c r="F3" s="4" t="s">
        <v>170</v>
      </c>
      <c r="G3" s="4" t="s">
        <v>171</v>
      </c>
      <c r="H3" s="4" t="s">
        <v>7</v>
      </c>
      <c r="I3" s="42"/>
    </row>
    <row r="4" spans="1:10" ht="22" x14ac:dyDescent="0.3">
      <c r="A4" s="11" t="s">
        <v>172</v>
      </c>
      <c r="B4" s="11"/>
      <c r="C4" s="11"/>
      <c r="D4" s="11"/>
      <c r="E4" s="11"/>
      <c r="F4" s="11"/>
      <c r="G4" s="11"/>
      <c r="H4" s="11"/>
      <c r="I4" s="11"/>
      <c r="J4" s="11"/>
    </row>
    <row r="5" spans="1:10" ht="17" x14ac:dyDescent="0.25">
      <c r="A5" s="3">
        <v>46185</v>
      </c>
      <c r="B5" s="1" t="s">
        <v>180</v>
      </c>
      <c r="C5" s="12" cm="1">
        <f t="array" ref="C5">_xll.PBM("46488-07","Close Price",TEXT(A5,"dd-mmm-yyyy"),TEXT(A5,"dd-mmm-yyyy"),"0","d","asc","USD","")</f>
        <v>160.94999999999999</v>
      </c>
      <c r="D5" s="41">
        <f>C5/'Deal Fact Sheet'!$C$10-1</f>
        <v>0.19222222222222207</v>
      </c>
      <c r="E5" s="60">
        <v>522132000</v>
      </c>
      <c r="F5" s="35">
        <f>C5*'Deal Fact Sheet'!$C$46</f>
        <v>2117972.9998625997</v>
      </c>
      <c r="G5" s="37">
        <f>F5+'Deal Fact Sheet'!C50-'Deal Fact Sheet'!C48</f>
        <v>2131231.9998625997</v>
      </c>
      <c r="H5" s="1" t="s">
        <v>174</v>
      </c>
      <c r="I5" s="1"/>
      <c r="J5" s="1"/>
    </row>
    <row r="6" spans="1:10" ht="17" x14ac:dyDescent="0.25">
      <c r="A6" s="3">
        <v>46188</v>
      </c>
      <c r="B6" s="1" t="s">
        <v>175</v>
      </c>
      <c r="C6" s="12" cm="1">
        <f t="array" ref="C6">_xll.PBM("46488-07","Close Price",A6,A6,"0","d","asc","USD","")</f>
        <v>192.5</v>
      </c>
      <c r="D6" s="41">
        <f>C6/'Deal Fact Sheet'!$C$10-1</f>
        <v>0.42592592592592582</v>
      </c>
      <c r="E6" s="60">
        <v>256226632</v>
      </c>
      <c r="F6" s="35">
        <f>C6*'Deal Fact Sheet'!$C$46</f>
        <v>2533145.7127899998</v>
      </c>
      <c r="G6" s="13">
        <f>IF(F6="","",F6+'Deal Fact Sheet'!$C$50-'Deal Fact Sheet'!$C$48)</f>
        <v>2546404.7127899998</v>
      </c>
      <c r="H6" s="1"/>
      <c r="I6" s="1"/>
      <c r="J6" s="1"/>
    </row>
    <row r="7" spans="1:10" ht="17" x14ac:dyDescent="0.25">
      <c r="A7" s="3">
        <v>46189</v>
      </c>
      <c r="B7" s="1" t="s">
        <v>176</v>
      </c>
      <c r="C7" s="12" cm="1">
        <f t="array" ref="C7">_xll.PBM("46488-07","Close Price",A7,A7,"0","d","asc","USD","")</f>
        <v>201.8</v>
      </c>
      <c r="D7" s="41">
        <f>C7/'Deal Fact Sheet'!$C$10-1</f>
        <v>0.49481481481481482</v>
      </c>
      <c r="E7" s="60">
        <v>322149250</v>
      </c>
      <c r="F7" s="35">
        <f>C7*'Deal Fact Sheet'!$C$46</f>
        <v>2655526.2589143999</v>
      </c>
      <c r="G7" s="13">
        <f>IF(F7="","",F7+'Deal Fact Sheet'!$C$50-'Deal Fact Sheet'!$C$48)</f>
        <v>2668785.2589143999</v>
      </c>
      <c r="H7" s="1"/>
      <c r="I7" s="1"/>
      <c r="J7" s="1"/>
    </row>
    <row r="8" spans="1:10" ht="17" x14ac:dyDescent="0.25">
      <c r="A8" s="3">
        <v>46190</v>
      </c>
      <c r="B8" s="1" t="s">
        <v>177</v>
      </c>
      <c r="C8" s="12" cm="1">
        <f t="array" ref="C8">_xll.PBM("46488-07","Close Price",A8,A8,"0","d","asc","USD","")</f>
        <v>191.82</v>
      </c>
      <c r="D8" s="41">
        <f>C8/'Deal Fact Sheet'!$C$10-1</f>
        <v>0.42088888888888887</v>
      </c>
      <c r="E8" s="60">
        <v>201719498</v>
      </c>
      <c r="F8" s="35">
        <f>C8*'Deal Fact Sheet'!$C$46</f>
        <v>2524197.4578045597</v>
      </c>
      <c r="G8" s="13">
        <f>IF(F8="","",F8+'Deal Fact Sheet'!$C$50-'Deal Fact Sheet'!$C$48)</f>
        <v>2537456.4578045597</v>
      </c>
      <c r="H8" s="1"/>
      <c r="I8" s="1"/>
      <c r="J8" s="1"/>
    </row>
    <row r="9" spans="1:10" ht="17" x14ac:dyDescent="0.25">
      <c r="A9" s="3">
        <v>46191</v>
      </c>
      <c r="B9" s="1" t="s">
        <v>178</v>
      </c>
      <c r="C9" s="12" cm="1">
        <f t="array" ref="C9">_xll.PBM("46488-07","Close Price",A9,A9,"0","d","asc","USD","")</f>
        <v>185</v>
      </c>
      <c r="D9" s="41">
        <f>C9/'Deal Fact Sheet'!$C$10-1</f>
        <v>0.37037037037037046</v>
      </c>
      <c r="E9" s="60">
        <v>271421211</v>
      </c>
      <c r="F9" s="35">
        <f>C9*'Deal Fact Sheet'!$C$46</f>
        <v>2434451.7239799998</v>
      </c>
      <c r="G9" s="13">
        <f>IF(F9="","",F9+'Deal Fact Sheet'!$C$50-'Deal Fact Sheet'!$C$48)</f>
        <v>2447710.7239799998</v>
      </c>
      <c r="H9" s="1"/>
      <c r="I9" s="1"/>
      <c r="J9" s="1"/>
    </row>
    <row r="10" spans="1:10" ht="17" x14ac:dyDescent="0.25">
      <c r="A10" s="3">
        <v>46192</v>
      </c>
      <c r="B10" s="1" t="s">
        <v>181</v>
      </c>
      <c r="C10" s="12" cm="1">
        <f t="array" ref="C10">_xll.PBM("46488-07","Close Price",A10,A10,"0","d","asc","USD","")</f>
        <v>185</v>
      </c>
      <c r="D10" s="41">
        <f>C10/'Deal Fact Sheet'!$C$10-1</f>
        <v>0.37037037037037046</v>
      </c>
      <c r="E10" s="60" t="s">
        <v>361</v>
      </c>
      <c r="F10" s="35">
        <f>C10*'Deal Fact Sheet'!$C$46</f>
        <v>2434451.7239799998</v>
      </c>
      <c r="G10" s="13">
        <f>IF(F10="","",F10+'Deal Fact Sheet'!$C$50-'Deal Fact Sheet'!$C$48)</f>
        <v>2447710.7239799998</v>
      </c>
      <c r="H10" s="1" t="s">
        <v>362</v>
      </c>
      <c r="I10" s="1"/>
      <c r="J10" s="1"/>
    </row>
    <row r="11" spans="1:10" ht="17" x14ac:dyDescent="0.25">
      <c r="A11" s="3">
        <v>46195</v>
      </c>
      <c r="B11" s="1" t="s">
        <v>182</v>
      </c>
      <c r="C11" s="12" cm="1">
        <f t="array" ref="C11">_xll.PBM("46488-07","Close Price",A11,A11,"0","d","asc","USD","")</f>
        <v>154.6</v>
      </c>
      <c r="D11" s="41">
        <f>C11/'Deal Fact Sheet'!$C$10-1</f>
        <v>0.14518518518518508</v>
      </c>
      <c r="E11" s="60">
        <v>163833848</v>
      </c>
      <c r="F11" s="35">
        <f>C11*'Deal Fact Sheet'!$C$46</f>
        <v>2034412.0893367999</v>
      </c>
      <c r="G11" s="13">
        <f>IF(F11="","",F11+'Deal Fact Sheet'!$C$50-'Deal Fact Sheet'!$C$48)</f>
        <v>2047671.0893367999</v>
      </c>
      <c r="H11" s="1"/>
      <c r="I11" s="1"/>
      <c r="J11" s="1"/>
    </row>
    <row r="12" spans="1:10" ht="17" x14ac:dyDescent="0.25">
      <c r="A12" s="3">
        <v>46196</v>
      </c>
      <c r="B12" s="1" t="s">
        <v>183</v>
      </c>
      <c r="C12" s="12" cm="1">
        <f t="array" ref="C12">_xll.PBM("46488-07","Close Price",A12,A12,"0","d","asc","USD","")</f>
        <v>156.11000000000001</v>
      </c>
      <c r="D12" s="41">
        <f>C12/'Deal Fact Sheet'!$C$10-1</f>
        <v>0.15637037037037049</v>
      </c>
      <c r="E12" s="60">
        <v>155848109</v>
      </c>
      <c r="F12" s="35">
        <f>C12*'Deal Fact Sheet'!$C$46</f>
        <v>2054282.4790838801</v>
      </c>
      <c r="G12" s="13">
        <f>IF(F12="","",F12+'Deal Fact Sheet'!$C$50-'Deal Fact Sheet'!$C$48)</f>
        <v>2067541.4790838801</v>
      </c>
      <c r="I12" s="1"/>
      <c r="J12" s="1"/>
    </row>
    <row r="13" spans="1:10" ht="17" x14ac:dyDescent="0.25">
      <c r="A13" s="3">
        <v>46197</v>
      </c>
      <c r="B13" s="1" t="s">
        <v>698</v>
      </c>
      <c r="C13" s="12" cm="1">
        <f t="array" ref="C13">_xll.PBM("46488-07","Close Price",A13,A13,"0","d","asc","USD","")</f>
        <v>154.54</v>
      </c>
      <c r="D13" s="41">
        <f>C13/'Deal Fact Sheet'!$C$10-1</f>
        <v>0.14474074074074061</v>
      </c>
      <c r="E13" s="60">
        <v>76101541</v>
      </c>
      <c r="F13" s="35">
        <f>C13*'Deal Fact Sheet'!$C$46</f>
        <v>2033622.5374263199</v>
      </c>
      <c r="G13" s="13">
        <f>IF(F13="","",F13+'Deal Fact Sheet'!$C$50-'Deal Fact Sheet'!$C$48)</f>
        <v>2046881.5374263199</v>
      </c>
      <c r="H13" s="1"/>
      <c r="I13" s="1"/>
      <c r="J13" s="1"/>
    </row>
    <row r="14" spans="1:10" ht="17" x14ac:dyDescent="0.25">
      <c r="A14" s="3">
        <v>46198</v>
      </c>
      <c r="B14" s="1" t="s">
        <v>699</v>
      </c>
      <c r="C14" s="12" cm="1">
        <f t="array" ref="C14">_xll.PBM("46488-07","Close Price",A14,A14,"0","d","asc","USD","")</f>
        <v>153</v>
      </c>
      <c r="D14" s="41">
        <f>C14/'Deal Fact Sheet'!$C$10-1</f>
        <v>0.1333333333333333</v>
      </c>
      <c r="E14" s="60">
        <v>62025308</v>
      </c>
      <c r="F14" s="35">
        <f>C14*'Deal Fact Sheet'!$C$46</f>
        <v>2013357.371724</v>
      </c>
      <c r="G14" s="13">
        <f>IF(F14="","",F14+'Deal Fact Sheet'!$C$50-'Deal Fact Sheet'!$C$48)</f>
        <v>2026616.371724</v>
      </c>
      <c r="H14" s="1"/>
      <c r="I14" s="1"/>
      <c r="J14" s="1"/>
    </row>
    <row r="15" spans="1:10" ht="17" x14ac:dyDescent="0.25">
      <c r="A15" s="3">
        <v>46199</v>
      </c>
      <c r="B15" s="1" t="s">
        <v>700</v>
      </c>
      <c r="C15" s="12" cm="1">
        <f t="array" ref="C15">_xll.PBM("46488-07","Close Price",A15,A15,"0","d","asc","USD","")</f>
        <v>153.22999999999999</v>
      </c>
      <c r="D15" s="41">
        <f>C15/'Deal Fact Sheet'!$C$10-1</f>
        <v>0.13503703703703707</v>
      </c>
      <c r="E15" s="60">
        <v>125300711</v>
      </c>
      <c r="F15" s="35">
        <f>C15*'Deal Fact Sheet'!$C$46</f>
        <v>2016383.9873808399</v>
      </c>
      <c r="G15" s="13">
        <f>IF(F15="","",F15+'Deal Fact Sheet'!$C$50-'Deal Fact Sheet'!$C$48)</f>
        <v>2029642.9873808399</v>
      </c>
      <c r="H15" s="1" t="s">
        <v>363</v>
      </c>
      <c r="I15" s="1"/>
      <c r="J15" s="1"/>
    </row>
    <row r="16" spans="1:10" ht="17" x14ac:dyDescent="0.25">
      <c r="A16" s="3"/>
      <c r="B16" s="1"/>
      <c r="C16" s="12"/>
      <c r="D16" s="41"/>
      <c r="E16" s="60"/>
      <c r="F16" s="35"/>
      <c r="G16" s="13"/>
      <c r="H16" s="1"/>
      <c r="I16" s="1"/>
      <c r="J16" s="1"/>
    </row>
    <row r="17" spans="1:10" ht="17" x14ac:dyDescent="0.25">
      <c r="A17" s="3"/>
      <c r="B17" s="1"/>
      <c r="C17" s="12"/>
      <c r="D17" s="41"/>
      <c r="E17" s="60"/>
      <c r="F17" s="35"/>
      <c r="G17" s="13"/>
      <c r="H17" s="1"/>
      <c r="I17" s="1"/>
      <c r="J17" s="1"/>
    </row>
    <row r="19" spans="1:10" x14ac:dyDescent="0.2">
      <c r="A19" s="40" t="s">
        <v>185</v>
      </c>
      <c r="C19" s="14">
        <f>D5</f>
        <v>0.19222222222222207</v>
      </c>
    </row>
    <row r="20" spans="1:10" x14ac:dyDescent="0.2">
      <c r="A20" s="40" t="s">
        <v>186</v>
      </c>
      <c r="C20" s="14">
        <f>D15</f>
        <v>0.13503703703703707</v>
      </c>
    </row>
    <row r="21" spans="1:10" x14ac:dyDescent="0.2">
      <c r="A21" s="40" t="s">
        <v>187</v>
      </c>
      <c r="C21" s="7">
        <f>F5-'Deal Fact Sheet'!C47</f>
        <v>341481.20128259971</v>
      </c>
    </row>
    <row r="23" spans="1:10" ht="22" x14ac:dyDescent="0.3">
      <c r="A23" s="62" t="s">
        <v>188</v>
      </c>
    </row>
    <row r="24" spans="1:10" ht="16" customHeight="1" x14ac:dyDescent="0.2">
      <c r="A24" s="98" t="s">
        <v>364</v>
      </c>
      <c r="B24" s="98"/>
      <c r="C24" s="98"/>
      <c r="D24" s="98"/>
      <c r="E24" s="98"/>
    </row>
    <row r="25" spans="1:10" x14ac:dyDescent="0.2">
      <c r="A25" s="98"/>
      <c r="B25" s="98"/>
      <c r="C25" s="98"/>
      <c r="D25" s="98"/>
      <c r="E25" s="98"/>
    </row>
    <row r="26" spans="1:10" x14ac:dyDescent="0.2">
      <c r="A26" s="98"/>
      <c r="B26" s="98"/>
      <c r="C26" s="98"/>
      <c r="D26" s="98"/>
      <c r="E26" s="98"/>
    </row>
    <row r="27" spans="1:10" x14ac:dyDescent="0.2">
      <c r="A27" s="98"/>
      <c r="B27" s="98"/>
      <c r="C27" s="98"/>
      <c r="D27" s="98"/>
      <c r="E27" s="98"/>
    </row>
    <row r="28" spans="1:10" x14ac:dyDescent="0.2">
      <c r="A28" s="98"/>
      <c r="B28" s="98"/>
      <c r="C28" s="98"/>
      <c r="D28" s="98"/>
      <c r="E28" s="98"/>
    </row>
    <row r="29" spans="1:10" x14ac:dyDescent="0.2">
      <c r="A29" s="98"/>
      <c r="B29" s="98"/>
      <c r="C29" s="98"/>
      <c r="D29" s="98"/>
      <c r="E29" s="98"/>
    </row>
  </sheetData>
  <mergeCells count="2">
    <mergeCell ref="A1:H1"/>
    <mergeCell ref="A24:E29"/>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48C03-5EEF-324E-BF6E-804DB8332351}">
  <dimension ref="A1:N41"/>
  <sheetViews>
    <sheetView showGridLines="0" workbookViewId="0">
      <pane ySplit="3" topLeftCell="A4" activePane="bottomLeft" state="frozen"/>
      <selection pane="bottomLeft" activeCell="D33" sqref="D33"/>
    </sheetView>
  </sheetViews>
  <sheetFormatPr baseColWidth="10" defaultColWidth="10.83203125" defaultRowHeight="16" x14ac:dyDescent="0.2"/>
  <cols>
    <col min="1" max="1" width="14.5" style="1" customWidth="1"/>
    <col min="2" max="2" width="17.1640625" style="1" customWidth="1"/>
    <col min="3" max="3" width="15.83203125" style="1" customWidth="1"/>
    <col min="4" max="4" width="19.6640625" style="1" customWidth="1"/>
    <col min="5" max="5" width="15" style="1" customWidth="1"/>
    <col min="6" max="6" width="11.6640625" style="1" bestFit="1" customWidth="1"/>
    <col min="7" max="7" width="12.33203125" style="1" bestFit="1" customWidth="1"/>
    <col min="8" max="8" width="13.83203125" style="1" customWidth="1"/>
    <col min="9" max="10" width="11" style="1" bestFit="1" customWidth="1"/>
    <col min="11" max="11" width="14.83203125" style="1" customWidth="1"/>
    <col min="12" max="12" width="10.83203125" style="1"/>
    <col min="13" max="13" width="15.83203125" style="1" customWidth="1"/>
    <col min="14" max="14" width="79.5" style="1" customWidth="1"/>
    <col min="15" max="16384" width="10.83203125" style="1"/>
  </cols>
  <sheetData>
    <row r="1" spans="1:14" s="42" customFormat="1" ht="22" x14ac:dyDescent="0.3">
      <c r="A1" s="93" t="s">
        <v>239</v>
      </c>
      <c r="B1" s="93"/>
      <c r="C1" s="93"/>
      <c r="D1" s="93"/>
      <c r="E1" s="93"/>
      <c r="F1" s="93"/>
      <c r="G1" s="93"/>
      <c r="H1" s="93"/>
      <c r="I1" s="93"/>
      <c r="J1" s="93"/>
      <c r="K1" s="93"/>
      <c r="L1" s="93"/>
      <c r="M1" s="93"/>
      <c r="N1" s="93"/>
    </row>
    <row r="3" spans="1:14" s="4" customFormat="1" x14ac:dyDescent="0.2">
      <c r="A3" s="4" t="s">
        <v>189</v>
      </c>
      <c r="B3" s="4" t="s">
        <v>8</v>
      </c>
      <c r="C3" s="4" t="s">
        <v>9</v>
      </c>
      <c r="D3" s="4" t="s">
        <v>190</v>
      </c>
      <c r="E3" s="4" t="s">
        <v>173</v>
      </c>
      <c r="F3" s="4" t="s">
        <v>191</v>
      </c>
      <c r="G3" s="4" t="s">
        <v>192</v>
      </c>
      <c r="H3" s="4" t="s">
        <v>193</v>
      </c>
      <c r="I3" s="4" t="s">
        <v>194</v>
      </c>
      <c r="J3" s="4" t="s">
        <v>195</v>
      </c>
      <c r="K3" s="4" t="s">
        <v>67</v>
      </c>
      <c r="L3" s="4" t="s">
        <v>5</v>
      </c>
      <c r="M3" s="4" t="s">
        <v>6</v>
      </c>
      <c r="N3" s="4" t="s">
        <v>7</v>
      </c>
    </row>
    <row r="4" spans="1:14" ht="22" x14ac:dyDescent="0.3">
      <c r="A4" s="91" t="s">
        <v>240</v>
      </c>
      <c r="B4" s="91"/>
      <c r="C4" s="91"/>
      <c r="D4" s="91"/>
    </row>
    <row r="5" spans="1:14" x14ac:dyDescent="0.2">
      <c r="A5" s="7" t="s">
        <v>202</v>
      </c>
      <c r="B5" s="7" t="s">
        <v>196</v>
      </c>
      <c r="C5" s="7" t="s">
        <v>203</v>
      </c>
      <c r="D5" s="7" cm="1">
        <f t="array" ref="D5">_xll.PBM(C5,"Market Cap","23-Jun-2026","23-Jun-2026","0","d","asc","USD","/1000000")</f>
        <v>8771.8238509999992</v>
      </c>
      <c r="E5" s="7" cm="1">
        <f t="array" ref="E5">_xll.PBF(C5,"EV","TTM","23-Jun-2026","","USD","t")/1000000</f>
        <v>11720.076166000001</v>
      </c>
      <c r="F5" s="7" cm="1">
        <f t="array" ref="F5">_xll.PBF(C5,"Total Revenue","TTM","23-Jun-2026","","USD","t")/1000000</f>
        <v>4640.28</v>
      </c>
      <c r="G5" s="7" cm="1">
        <f t="array" ref="G5">_xll.PBF(C5,"EBITDA","TTM","23-Jun-2026","","USD","t")/1000000</f>
        <v>1613.6669999999999</v>
      </c>
      <c r="H5" s="7">
        <f>IFERROR(G5/F5,"")</f>
        <v>0.34775207530580049</v>
      </c>
      <c r="I5" s="7">
        <f>IFERROR(E5/F5,"")</f>
        <v>2.5257260695475274</v>
      </c>
      <c r="J5" s="7">
        <f>IFERROR(E5/G5,"")</f>
        <v>7.2630078981599064</v>
      </c>
      <c r="K5" s="9" cm="1">
        <f t="array" ref="K5">_xll.PBF(C5,"Revenue % Growth","TTM","23-Jun-2026","","USD","t")</f>
        <v>2.6708065876163811E-2</v>
      </c>
      <c r="L5" s="7" t="s">
        <v>153</v>
      </c>
    </row>
    <row r="6" spans="1:14" x14ac:dyDescent="0.2">
      <c r="A6" s="7" t="s">
        <v>202</v>
      </c>
      <c r="B6" s="7" t="s">
        <v>197</v>
      </c>
      <c r="C6" s="7" t="s">
        <v>204</v>
      </c>
      <c r="D6" s="7" cm="1">
        <f t="array" ref="D6">_xll.PBM(C6,"Market Cap","23-Jun-2026","23-Jun-2026","0","d","asc","USD","/1000000")</f>
        <v>30836.155123</v>
      </c>
      <c r="E6" s="7" cm="1">
        <f t="array" ref="E6">_xll.PBF(C6,"EV","TTM","23-Jun-2026","","USD","t")/1000000</f>
        <v>60998.085812999998</v>
      </c>
      <c r="F6" s="7" cm="1">
        <f t="array" ref="F6">_xll.PBF(C6,"Total Revenue","TTM","23-Jun-2026","","USD","t")/1000000</f>
        <v>14802.72</v>
      </c>
      <c r="G6" s="7" cm="1">
        <f t="array" ref="G6">_xll.PBF(C6,"EBITDA","TTM","23-Jun-2026","","USD","t")/1000000</f>
        <v>-15894.744000000001</v>
      </c>
      <c r="H6" s="7">
        <f t="shared" ref="H6:H11" si="0">IFERROR(G6/F6,"")</f>
        <v>-1.0737718473361653</v>
      </c>
      <c r="I6" s="7">
        <f t="shared" ref="I6:I11" si="1">IFERROR(E6/F6,"")</f>
        <v>4.1207349603991696</v>
      </c>
      <c r="J6" s="7" t="s">
        <v>247</v>
      </c>
      <c r="K6" s="9" cm="1">
        <f t="array" ref="K6">_xll.PBF(C6,"Revenue % Growth","TTM","23-Jun-2026","","USD","t")</f>
        <v>-5.5974928240174027E-2</v>
      </c>
      <c r="L6" s="7" t="s">
        <v>153</v>
      </c>
    </row>
    <row r="7" spans="1:14" x14ac:dyDescent="0.2">
      <c r="A7" s="7" t="s">
        <v>202</v>
      </c>
      <c r="B7" s="7" t="s">
        <v>198</v>
      </c>
      <c r="C7" s="7" t="s">
        <v>205</v>
      </c>
      <c r="D7" s="7" cm="1">
        <f t="array" ref="D7">_xll.PBM(C7,"Market Cap","23-Jun-2026","23-Jun-2026","0","d","asc","USD","/1000000")</f>
        <v>4578.0113149999997</v>
      </c>
      <c r="E7" s="7" cm="1">
        <f t="array" ref="E7">_xll.PBF(C7,"EV","TTM","23-Jun-2026","","USD","t")/1000000</f>
        <v>4575.5254949999999</v>
      </c>
      <c r="F7" s="7" cm="1">
        <f t="array" ref="F7">_xll.PBF(C7,"Total Revenue","TTM","23-Jun-2026","","USD","t")/1000000</f>
        <v>875.83799999999997</v>
      </c>
      <c r="G7" s="7" cm="1">
        <f t="array" ref="G7">_xll.PBF(C7,"EBITDA","TTM","23-Jun-2026","","USD","t")/1000000</f>
        <v>437.16199999999998</v>
      </c>
      <c r="H7" s="7">
        <f t="shared" si="0"/>
        <v>0.4991356849097664</v>
      </c>
      <c r="I7" s="7">
        <f t="shared" si="1"/>
        <v>5.2241687332588906</v>
      </c>
      <c r="J7" s="7">
        <f t="shared" ref="J7:J11" si="2">IFERROR(E7/G7,"")</f>
        <v>10.46643005338982</v>
      </c>
      <c r="K7" s="9" cm="1">
        <f t="array" ref="K7">_xll.PBF(C7,"Revenue % Growth","TTM","23-Jun-2026","","USD","t")</f>
        <v>4.0549739992657763E-2</v>
      </c>
      <c r="L7" s="7" t="s">
        <v>153</v>
      </c>
    </row>
    <row r="8" spans="1:14" x14ac:dyDescent="0.2">
      <c r="A8" s="7" t="s">
        <v>202</v>
      </c>
      <c r="B8" s="7" t="s">
        <v>199</v>
      </c>
      <c r="C8" s="7" t="s">
        <v>206</v>
      </c>
      <c r="D8" s="7" cm="1">
        <f t="array" ref="D8">_xll.PBM(C8,"Market Cap","23-Jun-2026","23-Jun-2026","0","d","asc","USD","/1000000")</f>
        <v>10278.644582999999</v>
      </c>
      <c r="E8" s="7" cm="1">
        <f t="array" ref="E8">_xll.PBF(C8,"EV","TTM","23-Jun-2026","","USD","t")/1000000</f>
        <v>8637.4437940000007</v>
      </c>
      <c r="F8" s="7" cm="1">
        <f t="array" ref="F8">_xll.PBF(C8,"Total Revenue","TTM","23-Jun-2026","","USD","t")/1000000</f>
        <v>283.01799999999997</v>
      </c>
      <c r="G8" s="7" cm="1">
        <f t="array" ref="G8">_xll.PBF(C8,"EBITDA","TTM","23-Jun-2026","","USD","t")/1000000</f>
        <v>130.46700000000001</v>
      </c>
      <c r="H8" s="7">
        <f t="shared" si="0"/>
        <v>0.46098481368676208</v>
      </c>
      <c r="I8" s="7">
        <f t="shared" si="1"/>
        <v>30.519061663922443</v>
      </c>
      <c r="J8" s="7">
        <f t="shared" si="2"/>
        <v>66.204050020311655</v>
      </c>
      <c r="K8" s="9" cm="1">
        <f t="array" ref="K8">_xll.PBF(C8,"Revenue % Growth","TTM","23-Jun-2026","","USD","t")</f>
        <v>0.11467855581506181</v>
      </c>
      <c r="L8" s="7" t="s">
        <v>153</v>
      </c>
    </row>
    <row r="9" spans="1:14" x14ac:dyDescent="0.2">
      <c r="A9" s="7" t="s">
        <v>202</v>
      </c>
      <c r="B9" s="7" t="s">
        <v>246</v>
      </c>
      <c r="C9" s="7" t="s">
        <v>207</v>
      </c>
      <c r="D9" s="7" cm="1">
        <f t="array" ref="D9">_xll.PBM(C9,"Market Cap","23-Jun-2026","23-Jun-2026","0","d","asc","USD","/1000000")</f>
        <v>21865.247771999999</v>
      </c>
      <c r="E9" s="7" cm="1">
        <f t="array" ref="E9">_xll.PBF(C9,"EV","TTM","23-Jun-2026","","USD","t")/1000000</f>
        <v>24705.508421999999</v>
      </c>
      <c r="F9" s="7" cm="1">
        <f t="array" ref="F9">_xll.PBF(C9,"Total Revenue","TTM","23-Jun-2026","","USD","t")/1000000</f>
        <v>84.935000000000002</v>
      </c>
      <c r="G9" s="7" cm="1">
        <f t="array" ref="G9">_xll.PBF(C9,"EBITDA","TTM","23-Jun-2026","","USD","t")/1000000</f>
        <v>-596.71900000000005</v>
      </c>
      <c r="H9" s="7">
        <f t="shared" si="0"/>
        <v>-7.0255960440336729</v>
      </c>
      <c r="I9" s="7">
        <f t="shared" si="1"/>
        <v>290.87547444516395</v>
      </c>
      <c r="J9" s="7" t="s">
        <v>247</v>
      </c>
      <c r="K9" s="9" cm="1">
        <f t="array" ref="K9">_xll.PBF(C9,"Revenue % Growth","TTM","23-Jun-2026","","USD","t")</f>
        <v>17.320750647109577</v>
      </c>
      <c r="L9" s="7" t="s">
        <v>153</v>
      </c>
      <c r="N9" s="1" t="s">
        <v>255</v>
      </c>
    </row>
    <row r="10" spans="1:14" x14ac:dyDescent="0.2">
      <c r="A10" s="7" t="s">
        <v>202</v>
      </c>
      <c r="B10" s="7" t="s">
        <v>200</v>
      </c>
      <c r="C10" s="7" t="s">
        <v>208</v>
      </c>
      <c r="D10" s="7" cm="1">
        <f t="array" ref="D10">_xll.PBM(C10,"Market Cap","23-Jun-2026","23-Jun-2026","0","d","asc","USD","/1000000")</f>
        <v>194861.78134300001</v>
      </c>
      <c r="E10" s="7" cm="1">
        <f t="array" ref="E10">_xll.PBF(C10,"EV","TTM","23-Jun-2026","","USD","t")/1000000</f>
        <v>348095.231072</v>
      </c>
      <c r="F10" s="7" cm="1">
        <f t="array" ref="F10">_xll.PBF(C10,"Total Revenue","TTM","23-Jun-2026","","USD","t")/1000000</f>
        <v>90530</v>
      </c>
      <c r="G10" s="7" cm="1">
        <f t="array" ref="G10">_xll.PBF(C10,"EBITDA","TTM","23-Jun-2026","","USD","t")/1000000</f>
        <v>31793</v>
      </c>
      <c r="H10" s="7">
        <f t="shared" si="0"/>
        <v>0.35118745167347842</v>
      </c>
      <c r="I10" s="7">
        <f t="shared" si="1"/>
        <v>3.8450815317795204</v>
      </c>
      <c r="J10" s="7">
        <f t="shared" si="2"/>
        <v>10.948801027647596</v>
      </c>
      <c r="K10" s="9" cm="1">
        <f t="array" ref="K10">_xll.PBF(C10,"Revenue % Growth","TTM","23-Jun-2026","","USD","t")</f>
        <v>9.4785468969186937E-2</v>
      </c>
      <c r="L10" s="7" t="s">
        <v>153</v>
      </c>
    </row>
    <row r="11" spans="1:14" x14ac:dyDescent="0.2">
      <c r="A11" s="7" t="s">
        <v>202</v>
      </c>
      <c r="B11" s="7" t="s">
        <v>201</v>
      </c>
      <c r="C11" s="7" t="s">
        <v>209</v>
      </c>
      <c r="D11" s="7" cm="1">
        <f t="array" ref="D11">_xll.PBM(C11,"Market Cap","23-Jun-2026","23-Jun-2026","0","d","asc","USD","/1000000")</f>
        <v>15439.478775</v>
      </c>
      <c r="E11" s="7" cm="1">
        <f t="array" ref="E11">_xll.PBF(C11,"EV","TTM","23-Jun-2026","","USD","t")/1000000</f>
        <v>128238.010742</v>
      </c>
      <c r="F11" s="7" cm="1">
        <f t="array" ref="F11">_xll.PBF(C11,"Total Revenue","TTM","23-Jun-2026","","USD","t")/1000000</f>
        <v>54636</v>
      </c>
      <c r="G11" s="7" cm="1">
        <f t="array" ref="G11">_xll.PBF(C11,"EBITDA","TTM","23-Jun-2026","","USD","t")/1000000</f>
        <v>21230</v>
      </c>
      <c r="H11" s="7">
        <f t="shared" si="0"/>
        <v>0.38857163774800496</v>
      </c>
      <c r="I11" s="7">
        <f t="shared" si="1"/>
        <v>2.3471339545720769</v>
      </c>
      <c r="J11" s="7">
        <f t="shared" si="2"/>
        <v>6.0404150137541217</v>
      </c>
      <c r="K11" s="9" cm="1">
        <f t="array" ref="K11">_xll.PBF(C11,"Revenue % Growth","TTM","23-Jun-2026","","USD","t")</f>
        <v>-9.1583395295696812E-3</v>
      </c>
      <c r="L11" s="7" t="s">
        <v>153</v>
      </c>
    </row>
    <row r="12" spans="1:14" x14ac:dyDescent="0.2">
      <c r="A12" s="7"/>
      <c r="B12" s="7"/>
      <c r="C12" s="7"/>
      <c r="D12" s="7"/>
      <c r="E12" s="7"/>
      <c r="F12" s="7"/>
      <c r="G12" s="7"/>
      <c r="H12" s="7"/>
      <c r="I12" s="7"/>
      <c r="J12" s="7"/>
      <c r="K12" s="7"/>
      <c r="L12" s="7"/>
    </row>
    <row r="13" spans="1:14" ht="22" x14ac:dyDescent="0.3">
      <c r="A13" s="101" t="s">
        <v>241</v>
      </c>
      <c r="B13" s="101"/>
      <c r="C13" s="101"/>
      <c r="D13" s="101"/>
      <c r="E13" s="7"/>
      <c r="F13" s="7"/>
      <c r="G13" s="7"/>
      <c r="H13" s="7"/>
      <c r="I13" s="7"/>
      <c r="J13" s="7"/>
      <c r="K13" s="7"/>
      <c r="L13" s="7"/>
    </row>
    <row r="14" spans="1:14" x14ac:dyDescent="0.2">
      <c r="A14" s="7" t="s">
        <v>210</v>
      </c>
      <c r="B14" s="7" t="s">
        <v>211</v>
      </c>
      <c r="C14" s="7" t="s">
        <v>214</v>
      </c>
      <c r="D14" s="7" cm="1">
        <f t="array" ref="D14">_xll.PBM(C14,"Market Cap","23-Jun-2026","23-Jun-2026","0","d","asc","USD","/1000000")</f>
        <v>62663.069930999998</v>
      </c>
      <c r="E14" s="7" cm="1">
        <f t="array" ref="E14">_xll.PBF(C14,"EV","TTM","23-Jun-2026","","USD","t")/1000000</f>
        <v>35804.743438999998</v>
      </c>
      <c r="F14" s="7" cm="1">
        <f t="array" ref="F14">_xll.PBF(C14,"Total Revenue","TTM","23-Jun-2026","","USD","t")/1000000</f>
        <v>679.57799999999997</v>
      </c>
      <c r="G14" s="7" cm="1">
        <f t="array" ref="G14">_xll.PBF(C14,"EBITDA","TTM","23-Jun-2026","","USD","t")/1000000</f>
        <v>-171.548</v>
      </c>
      <c r="H14" s="7">
        <f t="shared" ref="H14:H20" si="3">IFERROR(G14/F14,"")</f>
        <v>-0.2524331276174332</v>
      </c>
      <c r="I14" s="7">
        <f t="shared" ref="I14:I20" si="4">IFERROR(E14/F14,"")</f>
        <v>52.686731234677993</v>
      </c>
      <c r="J14" s="7" t="s">
        <v>247</v>
      </c>
      <c r="K14" s="9" cm="1">
        <f t="array" ref="K14">_xll.PBF(C14,"Revenue % Growth","TTM","23-Jun-2026","","USD","t")</f>
        <v>0.45827181899333924</v>
      </c>
      <c r="L14" s="7" t="s">
        <v>153</v>
      </c>
    </row>
    <row r="15" spans="1:14" x14ac:dyDescent="0.2">
      <c r="A15" s="7" t="s">
        <v>210</v>
      </c>
      <c r="B15" s="7" t="s">
        <v>242</v>
      </c>
      <c r="C15" s="7" t="s">
        <v>215</v>
      </c>
      <c r="D15" s="7" cm="1">
        <f t="array" ref="D15">_xll.PBM(C15,"Market Cap","23-Jun-2026","23-Jun-2026","0","d","asc","USD","/1000000")</f>
        <v>10253.700672999999</v>
      </c>
      <c r="E15" s="7" cm="1">
        <f t="array" ref="E15">_xll.PBF(C15,"EV","TTM","23-Jun-2026","","USD","t")/1000000</f>
        <v>12432.488187000001</v>
      </c>
      <c r="F15" s="7" cm="1">
        <f t="array" ref="F15">_xll.PBF(C15,"Total Revenue","TTM","23-Jun-2026","","USD","t")/1000000</f>
        <v>335.61200000000002</v>
      </c>
      <c r="G15" s="7" cm="1">
        <f t="array" ref="G15">_xll.PBF(C15,"EBITDA","TTM","23-Jun-2026","","USD","t")/1000000</f>
        <v>-339.97500000000002</v>
      </c>
      <c r="H15" s="7">
        <f t="shared" si="3"/>
        <v>-1.0130001311037746</v>
      </c>
      <c r="I15" s="7">
        <f t="shared" si="4"/>
        <v>37.044230203330038</v>
      </c>
      <c r="J15" s="7" t="s">
        <v>247</v>
      </c>
      <c r="K15" s="9" cm="1">
        <f t="array" ref="K15">_xll.PBF(C15,"Revenue % Growth","TTM","23-Jun-2026","","USD","t")</f>
        <v>0.3414982192607634</v>
      </c>
      <c r="L15" s="7" t="s">
        <v>153</v>
      </c>
    </row>
    <row r="16" spans="1:14" x14ac:dyDescent="0.2">
      <c r="A16" s="7" t="s">
        <v>210</v>
      </c>
      <c r="B16" s="7" t="s">
        <v>212</v>
      </c>
      <c r="C16" s="7" t="s">
        <v>216</v>
      </c>
      <c r="D16" s="7" cm="1">
        <f t="array" ref="D16">_xll.PBM(C16,"Market Cap","23-Jun-2026","23-Jun-2026","0","d","asc","USD","/1000000")</f>
        <v>3109.5059919999999</v>
      </c>
      <c r="E16" s="7" cm="1">
        <f t="array" ref="E16">_xll.PBF(C16,"EV","TTM","23-Jun-2026","","USD","t")/1000000</f>
        <v>1737.444334</v>
      </c>
      <c r="F16" s="7" cm="1">
        <f t="array" ref="F16">_xll.PBF(C16,"Total Revenue","TTM","23-Jun-2026","","USD","t")/1000000</f>
        <v>370.95800000000003</v>
      </c>
      <c r="G16" s="7" cm="1">
        <f t="array" ref="G16">_xll.PBF(C16,"EBITDA","TTM","23-Jun-2026","","USD","t")/1000000</f>
        <v>-244.87700000000001</v>
      </c>
      <c r="H16" s="7">
        <f t="shared" si="3"/>
        <v>-0.66012055273103687</v>
      </c>
      <c r="I16" s="7">
        <f t="shared" si="4"/>
        <v>4.6836685932100126</v>
      </c>
      <c r="J16" s="7" t="s">
        <v>247</v>
      </c>
      <c r="K16" s="9" cm="1">
        <f t="array" ref="K16">_xll.PBF(C16,"Revenue % Growth","TTM","23-Jun-2026","","USD","t")</f>
        <v>0.33580358943335353</v>
      </c>
      <c r="L16" s="7" t="s">
        <v>153</v>
      </c>
    </row>
    <row r="17" spans="1:14" x14ac:dyDescent="0.2">
      <c r="A17" s="7" t="s">
        <v>210</v>
      </c>
      <c r="B17" s="7" t="s">
        <v>243</v>
      </c>
      <c r="C17" s="7" t="s">
        <v>217</v>
      </c>
      <c r="D17" s="7" cm="1">
        <f t="array" ref="D17">_xll.PBM(C17,"Market Cap","23-Jun-2026","23-Jun-2026","0","d","asc","USD","/1000000")</f>
        <v>3528.3462749999999</v>
      </c>
      <c r="E17" s="7" cm="1">
        <f t="array" ref="E17">_xll.PBF(C17,"EV","TTM","23-Jun-2026","","USD","t")/1000000</f>
        <v>3706.1738439999999</v>
      </c>
      <c r="F17" s="7" cm="1">
        <f t="array" ref="F17">_xll.PBF(C17,"Total Revenue","TTM","23-Jun-2026","","USD","t")/1000000</f>
        <v>328.238</v>
      </c>
      <c r="G17" s="7" cm="1">
        <f t="array" ref="G17">_xll.PBF(C17,"EBITDA","TTM","23-Jun-2026","","USD","t")/1000000</f>
        <v>-146.61099999999999</v>
      </c>
      <c r="H17" s="7">
        <f t="shared" si="3"/>
        <v>-0.4466606547687958</v>
      </c>
      <c r="I17" s="7">
        <f t="shared" si="4"/>
        <v>11.291117554944888</v>
      </c>
      <c r="J17" s="7" t="s">
        <v>247</v>
      </c>
      <c r="K17" s="9" cm="1">
        <f t="array" ref="K17">_xll.PBF(C17,"Revenue % Growth","TTM","23-Jun-2026","","USD","t")</f>
        <v>0.51049446630312234</v>
      </c>
      <c r="L17" s="7" t="s">
        <v>153</v>
      </c>
    </row>
    <row r="18" spans="1:14" x14ac:dyDescent="0.2">
      <c r="A18" s="7" t="s">
        <v>210</v>
      </c>
      <c r="B18" s="7" t="s">
        <v>237</v>
      </c>
      <c r="C18" s="7" t="s">
        <v>218</v>
      </c>
      <c r="D18" s="7" cm="1">
        <f t="array" ref="D18">_xll.PBM(C18,"Market Cap","23-Jun-2026","23-Jun-2026","0","d","asc","USD","/1000000")</f>
        <v>1059.091602</v>
      </c>
      <c r="E18" s="7" cm="1">
        <f t="array" ref="E18">_xll.PBF(C18,"EV","TTM","23-Jun-2026","","USD","t")/1000000</f>
        <v>1015.80352</v>
      </c>
      <c r="F18" s="7" cm="1">
        <f t="array" ref="F18">_xll.PBF(C18,"Total Revenue","TTM","23-Jun-2026","","USD","t")/1000000</f>
        <v>97.805000000000007</v>
      </c>
      <c r="G18" s="7" cm="1">
        <f t="array" ref="G18">_xll.PBF(C18,"EBITDA","TTM","23-Jun-2026","","USD","t")/1000000</f>
        <v>-42.77</v>
      </c>
      <c r="H18" s="7">
        <f t="shared" si="3"/>
        <v>-0.43729870661009151</v>
      </c>
      <c r="I18" s="7">
        <f t="shared" si="4"/>
        <v>10.386008077296662</v>
      </c>
      <c r="J18" s="7" t="s">
        <v>247</v>
      </c>
      <c r="K18" s="9" cm="1">
        <f t="array" ref="K18">_xll.PBF(C18,"Revenue % Growth","TTM","23-Jun-2026","","USD","t")</f>
        <v>-8.934739900000932E-2</v>
      </c>
      <c r="L18" s="7" t="s">
        <v>153</v>
      </c>
    </row>
    <row r="19" spans="1:14" x14ac:dyDescent="0.2">
      <c r="A19" s="7" t="s">
        <v>210</v>
      </c>
      <c r="B19" s="7" t="s">
        <v>213</v>
      </c>
      <c r="C19" s="7" t="s">
        <v>244</v>
      </c>
      <c r="D19" s="7" cm="1">
        <f t="array" ref="D19">_xll.PBM(C19,"Market Cap","23-Jun-2026","23-Jun-2026","0","d","asc","USD","/1000000")</f>
        <v>5483.1683121402139</v>
      </c>
      <c r="E19" s="7" cm="1">
        <f t="array" ref="E19">_xll.PBF(C19,"EV","TTM","23-Jun-2026","","USD","t")/1000000</f>
        <v>3673.936052</v>
      </c>
      <c r="F19" s="7" cm="1">
        <f t="array" ref="F19">_xll.PBF(C19,"Total Revenue","TTM","23-Jun-2026","","USD","t")/1000000</f>
        <v>1263.3109549721999</v>
      </c>
      <c r="G19" s="7" cm="1">
        <f t="array" ref="G19">_xll.PBF(C19,"EBITDA","TTM","23-Jun-2026","","USD","t")/1000000</f>
        <v>232.36298387279999</v>
      </c>
      <c r="H19" s="7">
        <f t="shared" si="3"/>
        <v>0.18393174139609461</v>
      </c>
      <c r="I19" s="7">
        <f t="shared" si="4"/>
        <v>2.9081803158121491</v>
      </c>
      <c r="J19" s="7">
        <f t="shared" ref="J19" si="5">IFERROR(E19/G19,"")</f>
        <v>15.811193292349801</v>
      </c>
      <c r="K19" s="9" cm="1">
        <f t="array" ref="K19">_xll.PBF(C19,"Revenue % Growth","TTM","23-Jun-2026","","USD","t")</f>
        <v>0.4290507364975451</v>
      </c>
      <c r="L19" s="7" t="s">
        <v>153</v>
      </c>
    </row>
    <row r="20" spans="1:14" x14ac:dyDescent="0.2">
      <c r="A20" s="7" t="s">
        <v>210</v>
      </c>
      <c r="B20" s="7" t="s">
        <v>220</v>
      </c>
      <c r="C20" s="7" t="s">
        <v>221</v>
      </c>
      <c r="D20" s="7" cm="1">
        <f t="array" ref="D20">_xll.PBM(C20,"Market Cap","23-Jun-2026","23-Jun-2026","0","d","asc","USD","/1000000")</f>
        <v>301.78466500000002</v>
      </c>
      <c r="E20" s="7" cm="1">
        <f t="array" ref="E20">_xll.PBF(C20,"EV","TTM","23-Jun-2026","","USD","t")/1000000</f>
        <v>151.56936300000001</v>
      </c>
      <c r="F20" s="7" cm="1">
        <f t="array" ref="F20">_xll.PBF(C20,"Total Revenue","TTM","23-Jun-2026","","USD","t")/1000000</f>
        <v>3.504756</v>
      </c>
      <c r="G20" s="7" cm="1">
        <f t="array" ref="G20">_xll.PBF(C20,"EBITDA","TTM","23-Jun-2026","","USD","t")/1000000</f>
        <v>-24.407070000000001</v>
      </c>
      <c r="H20" s="7">
        <f t="shared" si="3"/>
        <v>-6.9639855099755881</v>
      </c>
      <c r="I20" s="7">
        <f t="shared" si="4"/>
        <v>43.246766108682031</v>
      </c>
      <c r="J20" s="7" t="s">
        <v>247</v>
      </c>
      <c r="K20" s="9" cm="1">
        <f t="array" ref="K20">_xll.PBF(C20,"Revenue % Growth","TTM","23-Jun-2026","","USD","t")</f>
        <v>-9.2263761708475944E-2</v>
      </c>
      <c r="L20" s="7" t="s">
        <v>153</v>
      </c>
      <c r="N20" s="1" t="s">
        <v>256</v>
      </c>
    </row>
    <row r="21" spans="1:14" x14ac:dyDescent="0.2">
      <c r="A21" s="7"/>
      <c r="B21" s="7"/>
      <c r="C21" s="7"/>
      <c r="D21" s="7"/>
      <c r="E21" s="7"/>
      <c r="F21" s="7"/>
      <c r="G21" s="7"/>
      <c r="H21" s="7"/>
      <c r="I21" s="7"/>
      <c r="J21" s="7"/>
      <c r="K21" s="7"/>
      <c r="L21" s="7"/>
    </row>
    <row r="22" spans="1:14" ht="22" x14ac:dyDescent="0.3">
      <c r="A22" s="101" t="s">
        <v>222</v>
      </c>
      <c r="B22" s="101"/>
      <c r="C22" s="101"/>
      <c r="D22" s="101"/>
      <c r="E22" s="7"/>
      <c r="F22" s="7"/>
      <c r="G22" s="7"/>
      <c r="H22" s="7"/>
      <c r="I22" s="7"/>
      <c r="J22" s="7"/>
      <c r="K22" s="7"/>
      <c r="L22" s="7"/>
    </row>
    <row r="23" spans="1:14" x14ac:dyDescent="0.2">
      <c r="A23" s="7" t="s">
        <v>223</v>
      </c>
      <c r="B23" s="7" t="s">
        <v>224</v>
      </c>
      <c r="C23" s="7" t="s">
        <v>232</v>
      </c>
      <c r="D23" s="7" cm="1">
        <f t="array" ref="D23">_xll.PBM(C23,"Market Cap","23-Jun-2026","23-Jun-2026","0","d","asc","USD","/1000000")</f>
        <v>113806.19690900001</v>
      </c>
      <c r="E23" s="7" cm="1">
        <f t="array" ref="E23">_xll.PBF(C23,"EV","TTM","23-Jun-2026","","USD","t")/1000000</f>
        <v>156867.99949799999</v>
      </c>
      <c r="F23" s="7" cm="1">
        <f t="array" ref="F23">_xll.PBF(C23,"Total Revenue","TTM","23-Jun-2026","","USD","t")/1000000</f>
        <v>75106</v>
      </c>
      <c r="G23" s="7" cm="1">
        <f t="array" ref="G23">_xll.PBF(C23,"EBITDA","TTM","23-Jun-2026","","USD","t")/1000000</f>
        <v>8467</v>
      </c>
      <c r="H23" s="7">
        <f>IFERROR(G23/F23,"")</f>
        <v>0.11273400260964503</v>
      </c>
      <c r="I23" s="7">
        <f t="shared" ref="I23:I30" si="6">IFERROR(E23/F23,"")</f>
        <v>2.088621408382819</v>
      </c>
      <c r="J23" s="7">
        <f t="shared" ref="J23:J30" si="7">IFERROR(E23/G23,"")</f>
        <v>18.526987067202079</v>
      </c>
      <c r="K23" s="9" cm="1">
        <f t="array" ref="K23">_xll.PBF(C23,"Revenue % Growth","TTM","23-Jun-2026","","USD","t")</f>
        <v>4.5884335268969956E-2</v>
      </c>
      <c r="L23" s="7" t="s">
        <v>153</v>
      </c>
    </row>
    <row r="24" spans="1:14" x14ac:dyDescent="0.2">
      <c r="A24" s="7" t="s">
        <v>223</v>
      </c>
      <c r="B24" s="7" t="s">
        <v>225</v>
      </c>
      <c r="C24" s="7" t="s">
        <v>219</v>
      </c>
      <c r="D24" s="7" cm="1">
        <f t="array" ref="D24">_xll.PBM(C24,"Market Cap","23-Jun-2026","23-Jun-2026","0","d","asc","USD","/1000000")</f>
        <v>174080.803755</v>
      </c>
      <c r="E24" s="7" cm="1">
        <f t="array" ref="E24">_xll.PBF(C24,"EV","TTM","23-Jun-2026","","USD","t")/1000000</f>
        <v>181448.55918400001</v>
      </c>
      <c r="F24" s="7" cm="1">
        <f t="array" ref="F24">_xll.PBF(C24,"Total Revenue","TTM","23-Jun-2026","","USD","t")/1000000</f>
        <v>92184</v>
      </c>
      <c r="G24" s="7" cm="1">
        <f t="array" ref="G24">_xll.PBF(C24,"EBITDA","TTM","23-Jun-2026","","USD","t")/1000000</f>
        <v>7324</v>
      </c>
      <c r="H24" s="7">
        <f t="shared" ref="H24:H30" si="8">IFERROR(G24/F24,"")</f>
        <v>7.9449796060053812E-2</v>
      </c>
      <c r="I24" s="7">
        <f t="shared" si="6"/>
        <v>1.9683302870780179</v>
      </c>
      <c r="J24" s="7">
        <f t="shared" si="7"/>
        <v>24.774516546149648</v>
      </c>
      <c r="K24" s="9" cm="1">
        <f t="array" ref="K24">_xll.PBF(C24,"Revenue % Growth","TTM","23-Jun-2026","","USD","t")</f>
        <v>0.32745809573181273</v>
      </c>
      <c r="L24" s="7" t="s">
        <v>153</v>
      </c>
      <c r="N24" s="1" t="s">
        <v>238</v>
      </c>
    </row>
    <row r="25" spans="1:14" x14ac:dyDescent="0.2">
      <c r="A25" s="7" t="s">
        <v>223</v>
      </c>
      <c r="B25" s="7" t="s">
        <v>226</v>
      </c>
      <c r="C25" s="7" t="s">
        <v>233</v>
      </c>
      <c r="D25" s="7" cm="1">
        <f t="array" ref="D25">_xll.PBM(C25,"Market Cap","23-Jun-2026","23-Jun-2026","0","d","asc","USD","/1000000")</f>
        <v>72057.843378999998</v>
      </c>
      <c r="E25" s="7" cm="1">
        <f t="array" ref="E25">_xll.PBF(C25,"EV","TTM","23-Jun-2026","","USD","t")/1000000</f>
        <v>109440.606711</v>
      </c>
      <c r="F25" s="7" cm="1">
        <f t="array" ref="F25">_xll.PBF(C25,"Total Revenue","TTM","23-Jun-2026","","USD","t")/1000000</f>
        <v>42367</v>
      </c>
      <c r="G25" s="7" cm="1">
        <f t="array" ref="G25">_xll.PBF(C25,"EBITDA","TTM","23-Jun-2026","","USD","t")/1000000</f>
        <v>7698</v>
      </c>
      <c r="H25" s="7">
        <f t="shared" si="8"/>
        <v>0.1816980196851323</v>
      </c>
      <c r="I25" s="7">
        <f t="shared" si="6"/>
        <v>2.5831568605518447</v>
      </c>
      <c r="J25" s="7">
        <f t="shared" si="7"/>
        <v>14.216758471161342</v>
      </c>
      <c r="K25" s="9" cm="1">
        <f t="array" ref="K25">_xll.PBF(C25,"Revenue % Growth","TTM","23-Jun-2026","","USD","t")</f>
        <v>4.9519421323820811E-2</v>
      </c>
      <c r="L25" s="7" t="s">
        <v>153</v>
      </c>
    </row>
    <row r="26" spans="1:14" x14ac:dyDescent="0.2">
      <c r="A26" s="7" t="s">
        <v>223</v>
      </c>
      <c r="B26" s="7" t="s">
        <v>227</v>
      </c>
      <c r="C26" s="7" t="s">
        <v>227</v>
      </c>
      <c r="D26" s="7" cm="1">
        <f t="array" ref="D26">_xll.PBM(C26,"Market Cap","23-Jun-2026","23-Jun-2026","0","d","asc","USD","/1000000")</f>
        <v>244867.447713</v>
      </c>
      <c r="E26" s="7" cm="1">
        <f t="array" ref="E26">_xll.PBF(C26,"EV","TTM","23-Jun-2026","","USD","t")/1000000</f>
        <v>293602.42703800002</v>
      </c>
      <c r="F26" s="7" cm="1">
        <f t="array" ref="F26">_xll.PBF(C26,"Total Revenue","TTM","23-Jun-2026","","USD","t")/1000000</f>
        <v>90373</v>
      </c>
      <c r="G26" s="7" cm="1">
        <f t="array" ref="G26">_xll.PBF(C26,"EBITDA","TTM","23-Jun-2026","","USD","t")/1000000</f>
        <v>15360</v>
      </c>
      <c r="H26" s="7">
        <f t="shared" si="8"/>
        <v>0.16996226749139676</v>
      </c>
      <c r="I26" s="7">
        <f t="shared" si="6"/>
        <v>3.2487847812731681</v>
      </c>
      <c r="J26" s="7">
        <f t="shared" si="7"/>
        <v>19.114741343619794</v>
      </c>
      <c r="K26" s="9" cm="1">
        <f t="array" ref="K26">_xll.PBF(C26,"Revenue % Growth","TTM","23-Jun-2026","","USD","t")</f>
        <v>0.10562889196099778</v>
      </c>
      <c r="L26" s="7" t="s">
        <v>153</v>
      </c>
    </row>
    <row r="27" spans="1:14" x14ac:dyDescent="0.2">
      <c r="A27" s="7" t="s">
        <v>223</v>
      </c>
      <c r="B27" s="7" t="s">
        <v>228</v>
      </c>
      <c r="C27" s="7" t="s">
        <v>234</v>
      </c>
      <c r="D27" s="7" cm="1">
        <f t="array" ref="D27">_xll.PBM(C27,"Market Cap","23-Jun-2026","23-Jun-2026","0","d","asc","USD","/1000000")</f>
        <v>92854.909008000002</v>
      </c>
      <c r="E27" s="7" cm="1">
        <f t="array" ref="E27">_xll.PBF(C27,"EV","TTM","23-Jun-2026","","USD","t")/1000000</f>
        <v>100415.71675599999</v>
      </c>
      <c r="F27" s="7" cm="1">
        <f t="array" ref="F27">_xll.PBF(C27,"Total Revenue","TTM","23-Jun-2026","","USD","t")/1000000</f>
        <v>53808</v>
      </c>
      <c r="G27" s="7" cm="1">
        <f t="array" ref="G27">_xll.PBF(C27,"EBITDA","TTM","23-Jun-2026","","USD","t")/1000000</f>
        <v>6499</v>
      </c>
      <c r="H27" s="7">
        <f t="shared" si="8"/>
        <v>0.12078129646149272</v>
      </c>
      <c r="I27" s="7">
        <f t="shared" si="6"/>
        <v>1.8661856370056495</v>
      </c>
      <c r="J27" s="7">
        <f t="shared" si="7"/>
        <v>15.450948877673488</v>
      </c>
      <c r="K27" s="9" cm="1">
        <f t="array" ref="K27">_xll.PBF(C27,"Revenue % Growth","TTM","23-Jun-2026","","USD","t")</f>
        <v>9.3480734839863411E-2</v>
      </c>
      <c r="L27" s="7" t="s">
        <v>153</v>
      </c>
    </row>
    <row r="28" spans="1:14" x14ac:dyDescent="0.2">
      <c r="A28" s="7" t="s">
        <v>223</v>
      </c>
      <c r="B28" s="7" t="s">
        <v>229</v>
      </c>
      <c r="C28" s="7" t="s">
        <v>235</v>
      </c>
      <c r="D28" s="7" cm="1">
        <f t="array" ref="D28">_xll.PBM(C28,"Market Cap","23-Jun-2026","23-Jun-2026","0","d","asc","USD","/1000000")</f>
        <v>53248.685844</v>
      </c>
      <c r="E28" s="7" cm="1">
        <f t="array" ref="E28">_xll.PBF(C28,"EV","TTM","23-Jun-2026","","USD","t")/1000000</f>
        <v>74512.827174000005</v>
      </c>
      <c r="F28" s="7" cm="1">
        <f t="array" ref="F28">_xll.PBF(C28,"Total Revenue","TTM","23-Jun-2026","","USD","t")/1000000</f>
        <v>22477</v>
      </c>
      <c r="G28" s="7" cm="1">
        <f t="array" ref="G28">_xll.PBF(C28,"EBITDA","TTM","23-Jun-2026","","USD","t")/1000000</f>
        <v>3850</v>
      </c>
      <c r="H28" s="7">
        <f t="shared" si="8"/>
        <v>0.17128620367486763</v>
      </c>
      <c r="I28" s="7">
        <f t="shared" si="6"/>
        <v>3.3150699459002539</v>
      </c>
      <c r="J28" s="7">
        <f t="shared" si="7"/>
        <v>19.353981084155844</v>
      </c>
      <c r="K28" s="9" cm="1">
        <f t="array" ref="K28">_xll.PBF(C28,"Revenue % Growth","TTM","23-Jun-2026","","USD","t")</f>
        <v>5.7940318177539307E-2</v>
      </c>
      <c r="L28" s="7" t="s">
        <v>153</v>
      </c>
    </row>
    <row r="29" spans="1:14" x14ac:dyDescent="0.2">
      <c r="A29" s="7" t="s">
        <v>223</v>
      </c>
      <c r="B29" s="7" t="s">
        <v>230</v>
      </c>
      <c r="C29" s="7" t="s">
        <v>236</v>
      </c>
      <c r="D29" s="7" cm="1">
        <f t="array" ref="D29">_xll.PBM(C29,"Market Cap","23-Jun-2026","23-Jun-2026","0","d","asc","USD","/1000000")</f>
        <v>72484.33021</v>
      </c>
      <c r="E29" s="7" cm="1">
        <f t="array" ref="E29">_xll.PBF(C29,"EV","TTM","23-Jun-2026","","USD","t")/1000000</f>
        <v>92975.600573999996</v>
      </c>
      <c r="F29" s="7" cm="1">
        <f t="array" ref="F29">_xll.PBF(C29,"Total Revenue","TTM","23-Jun-2026","","USD","t")/1000000</f>
        <v>9502</v>
      </c>
      <c r="G29" s="7" cm="1">
        <f t="array" ref="G29">_xll.PBF(C29,"EBITDA","TTM","23-Jun-2026","","USD","t")/1000000</f>
        <v>4829</v>
      </c>
      <c r="H29" s="7">
        <f t="shared" si="8"/>
        <v>0.50820879814775832</v>
      </c>
      <c r="I29" s="7">
        <f t="shared" si="6"/>
        <v>9.7848453561355502</v>
      </c>
      <c r="J29" s="7">
        <f t="shared" si="7"/>
        <v>19.25359299523711</v>
      </c>
      <c r="K29" s="9" cm="1">
        <f t="array" ref="K29">_xll.PBF(C29,"Revenue % Growth","TTM","23-Jun-2026","","USD","t")</f>
        <v>0.13280877443967576</v>
      </c>
      <c r="L29" s="7" t="s">
        <v>153</v>
      </c>
    </row>
    <row r="30" spans="1:14" x14ac:dyDescent="0.2">
      <c r="A30" s="7" t="s">
        <v>223</v>
      </c>
      <c r="B30" s="7" t="s">
        <v>231</v>
      </c>
      <c r="C30" s="7" t="s">
        <v>245</v>
      </c>
      <c r="D30" s="7" cm="1">
        <f t="array" ref="D30">_xll.PBM(C30,"Market Cap","23-Jun-2026","23-Jun-2026","0","d","asc","USD","/1000000")</f>
        <v>38726.174448999998</v>
      </c>
      <c r="E30" s="7" cm="1">
        <f t="array" ref="E30">_xll.PBF(C30,"EV","TTM","23-Jun-2026","","USD","t")/1000000</f>
        <v>35310.433053000001</v>
      </c>
      <c r="F30" s="7" cm="1">
        <f t="array" ref="F30">_xll.PBF(C30,"Total Revenue","TTM","23-Jun-2026","","USD","t")/1000000</f>
        <v>4911.2969999999996</v>
      </c>
      <c r="G30" s="7" cm="1">
        <f t="array" ref="G30">_xll.PBF(C30,"EBITDA","TTM","23-Jun-2026","","USD","t")/1000000</f>
        <v>1368.1690000000001</v>
      </c>
      <c r="H30" s="7">
        <f t="shared" si="8"/>
        <v>0.2785759036767681</v>
      </c>
      <c r="I30" s="7">
        <f t="shared" si="6"/>
        <v>7.1896350501710655</v>
      </c>
      <c r="J30" s="7">
        <f t="shared" si="7"/>
        <v>25.808531733287335</v>
      </c>
      <c r="K30" s="9" cm="1">
        <f t="array" ref="K30">_xll.PBF(C30,"Revenue % Growth","TTM","23-Jun-2026","","USD","t")</f>
        <v>0.18803890610270613</v>
      </c>
      <c r="L30" s="7" t="s">
        <v>153</v>
      </c>
    </row>
    <row r="32" spans="1:14" ht="22" x14ac:dyDescent="0.3">
      <c r="A32" s="91" t="s">
        <v>248</v>
      </c>
      <c r="B32" s="91"/>
      <c r="C32" s="91"/>
      <c r="D32" s="91"/>
    </row>
    <row r="33" spans="1:9" ht="17" x14ac:dyDescent="0.25">
      <c r="A33" s="100" t="s">
        <v>249</v>
      </c>
      <c r="B33" s="100"/>
      <c r="C33" s="100"/>
      <c r="D33" s="43">
        <f>MEDIAN(I5:I8,I10:I11)</f>
        <v>3.982908246089345</v>
      </c>
    </row>
    <row r="34" spans="1:9" ht="17" x14ac:dyDescent="0.25">
      <c r="A34" s="100" t="s">
        <v>250</v>
      </c>
      <c r="B34" s="100"/>
      <c r="C34" s="100"/>
      <c r="D34" s="15">
        <f>MEDIAN(J5,J7:J8,J10:J11)</f>
        <v>10.46643005338982</v>
      </c>
      <c r="E34"/>
    </row>
    <row r="35" spans="1:9" x14ac:dyDescent="0.2">
      <c r="A35" s="100" t="s">
        <v>251</v>
      </c>
      <c r="B35" s="100"/>
      <c r="C35" s="100"/>
      <c r="D35" s="44">
        <f>MEDIAN(I14:I20)</f>
        <v>11.291117554944888</v>
      </c>
    </row>
    <row r="36" spans="1:9" x14ac:dyDescent="0.2">
      <c r="A36" s="100" t="s">
        <v>257</v>
      </c>
      <c r="B36" s="100"/>
      <c r="C36" s="100"/>
    </row>
    <row r="37" spans="1:9" ht="17" x14ac:dyDescent="0.25">
      <c r="A37" s="100" t="s">
        <v>252</v>
      </c>
      <c r="B37" s="100"/>
      <c r="C37" s="100"/>
      <c r="D37" s="43">
        <f>MEDIAN(I23:I30)</f>
        <v>2.9159708209125066</v>
      </c>
    </row>
    <row r="38" spans="1:9" ht="17" x14ac:dyDescent="0.25">
      <c r="A38" s="100" t="s">
        <v>253</v>
      </c>
      <c r="B38" s="100"/>
      <c r="C38" s="100"/>
      <c r="D38" s="15">
        <f>MEDIAN(J23:J30)</f>
        <v>19.184167169428452</v>
      </c>
    </row>
    <row r="39" spans="1:9" x14ac:dyDescent="0.2">
      <c r="A39" s="100" t="s">
        <v>7</v>
      </c>
      <c r="B39" s="100"/>
      <c r="C39" s="100"/>
      <c r="D39" s="99" t="s">
        <v>254</v>
      </c>
      <c r="E39" s="99"/>
      <c r="F39" s="99"/>
      <c r="G39" s="99"/>
      <c r="H39" s="99"/>
      <c r="I39" s="99"/>
    </row>
    <row r="40" spans="1:9" x14ac:dyDescent="0.2">
      <c r="D40" s="99"/>
      <c r="E40" s="99"/>
      <c r="F40" s="99"/>
      <c r="G40" s="99"/>
      <c r="H40" s="99"/>
      <c r="I40" s="99"/>
    </row>
    <row r="41" spans="1:9" x14ac:dyDescent="0.2">
      <c r="D41" s="99"/>
      <c r="E41" s="99"/>
      <c r="F41" s="99"/>
      <c r="G41" s="99"/>
      <c r="H41" s="99"/>
      <c r="I41" s="99"/>
    </row>
  </sheetData>
  <mergeCells count="13">
    <mergeCell ref="A33:C33"/>
    <mergeCell ref="A1:N1"/>
    <mergeCell ref="A4:D4"/>
    <mergeCell ref="A13:D13"/>
    <mergeCell ref="A22:D22"/>
    <mergeCell ref="A32:D32"/>
    <mergeCell ref="D39:I41"/>
    <mergeCell ref="A34:C34"/>
    <mergeCell ref="A35:C35"/>
    <mergeCell ref="A36:C36"/>
    <mergeCell ref="A37:C37"/>
    <mergeCell ref="A38:C38"/>
    <mergeCell ref="A39:C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C39D-07CF-344F-9834-EE8CBD668474}">
  <dimension ref="A1:N26"/>
  <sheetViews>
    <sheetView showGridLines="0" workbookViewId="0">
      <pane ySplit="3" topLeftCell="A10" activePane="bottomLeft" state="frozen"/>
      <selection pane="bottomLeft" activeCell="C30" sqref="C30"/>
    </sheetView>
  </sheetViews>
  <sheetFormatPr baseColWidth="10" defaultColWidth="10.83203125" defaultRowHeight="16" x14ac:dyDescent="0.2"/>
  <cols>
    <col min="1" max="1" width="29.5" customWidth="1"/>
    <col min="4" max="4" width="19.33203125" customWidth="1"/>
    <col min="5" max="5" width="12" customWidth="1"/>
    <col min="6" max="7" width="13.5" customWidth="1"/>
    <col min="11" max="11" width="51.83203125" customWidth="1"/>
  </cols>
  <sheetData>
    <row r="1" spans="1:14" s="5" customFormat="1" ht="22" x14ac:dyDescent="0.3">
      <c r="A1" s="93" t="s">
        <v>258</v>
      </c>
      <c r="B1" s="93"/>
      <c r="C1" s="93"/>
      <c r="D1" s="93"/>
      <c r="E1" s="93"/>
      <c r="F1" s="93"/>
      <c r="G1" s="93"/>
      <c r="H1" s="93"/>
      <c r="I1" s="93"/>
      <c r="J1" s="93"/>
    </row>
    <row r="3" spans="1:14" s="2" customFormat="1" x14ac:dyDescent="0.2">
      <c r="A3" s="4" t="s">
        <v>189</v>
      </c>
      <c r="B3" s="4" t="s">
        <v>259</v>
      </c>
      <c r="C3" s="4" t="s">
        <v>192</v>
      </c>
      <c r="D3" s="4" t="s">
        <v>260</v>
      </c>
      <c r="E3" s="4" t="s">
        <v>261</v>
      </c>
      <c r="F3" s="4" t="s">
        <v>262</v>
      </c>
      <c r="G3" s="4" t="s">
        <v>263</v>
      </c>
      <c r="H3" s="4" t="s">
        <v>264</v>
      </c>
      <c r="I3" s="4" t="s">
        <v>265</v>
      </c>
      <c r="J3" s="4" t="s">
        <v>266</v>
      </c>
      <c r="K3" s="4" t="s">
        <v>7</v>
      </c>
    </row>
    <row r="4" spans="1:14" ht="22" x14ac:dyDescent="0.3">
      <c r="A4" s="91" t="s">
        <v>267</v>
      </c>
      <c r="B4" s="91"/>
      <c r="C4" s="91"/>
      <c r="D4" s="91"/>
      <c r="E4" s="91"/>
      <c r="F4" s="91"/>
      <c r="G4" s="91"/>
      <c r="H4" s="91"/>
      <c r="I4" s="91"/>
      <c r="J4" s="91"/>
      <c r="K4" s="91"/>
    </row>
    <row r="5" spans="1:14" x14ac:dyDescent="0.2">
      <c r="A5" s="10" t="s">
        <v>64</v>
      </c>
      <c r="B5" s="60">
        <v>11387</v>
      </c>
      <c r="C5" s="60">
        <v>7168</v>
      </c>
      <c r="D5" s="1" t="s">
        <v>191</v>
      </c>
      <c r="E5" s="65">
        <v>3.98</v>
      </c>
      <c r="F5" s="65">
        <v>6</v>
      </c>
      <c r="G5" s="65">
        <v>8</v>
      </c>
      <c r="H5" s="65">
        <f>B5*E5</f>
        <v>45320.26</v>
      </c>
      <c r="I5" s="65">
        <f>B5*F5</f>
        <v>68322</v>
      </c>
      <c r="J5" s="65">
        <f>B5*G5</f>
        <v>91096</v>
      </c>
      <c r="K5" s="20" t="s">
        <v>269</v>
      </c>
    </row>
    <row r="6" spans="1:14" x14ac:dyDescent="0.2">
      <c r="A6" s="10" t="s">
        <v>375</v>
      </c>
      <c r="B6" s="60">
        <v>4086</v>
      </c>
      <c r="C6" s="60" t="s">
        <v>271</v>
      </c>
      <c r="D6" s="1" t="s">
        <v>191</v>
      </c>
      <c r="E6" s="65">
        <v>6</v>
      </c>
      <c r="F6" s="65">
        <v>11.3</v>
      </c>
      <c r="G6" s="65">
        <v>15</v>
      </c>
      <c r="H6" s="65">
        <f>B6*E6</f>
        <v>24516</v>
      </c>
      <c r="I6" s="65">
        <f>B6*F6</f>
        <v>46171.8</v>
      </c>
      <c r="J6" s="65">
        <f>B6*G6</f>
        <v>61290</v>
      </c>
      <c r="K6" s="20" t="s">
        <v>270</v>
      </c>
    </row>
    <row r="7" spans="1:14" x14ac:dyDescent="0.2">
      <c r="A7" s="10" t="s">
        <v>376</v>
      </c>
      <c r="B7" s="60">
        <v>3201</v>
      </c>
      <c r="C7" s="60">
        <v>-1237</v>
      </c>
      <c r="D7" s="1" t="s">
        <v>191</v>
      </c>
      <c r="E7" s="65">
        <v>3</v>
      </c>
      <c r="F7" s="65">
        <v>5</v>
      </c>
      <c r="G7" s="65">
        <v>7</v>
      </c>
      <c r="H7" s="65">
        <f>B7*E7</f>
        <v>9603</v>
      </c>
      <c r="I7" s="65">
        <f>B7*F7</f>
        <v>16005</v>
      </c>
      <c r="J7" s="65">
        <f>B7*G7</f>
        <v>22407</v>
      </c>
      <c r="K7" s="20" t="s">
        <v>378</v>
      </c>
    </row>
    <row r="8" spans="1:14" x14ac:dyDescent="0.2">
      <c r="A8" s="10" t="s">
        <v>377</v>
      </c>
      <c r="B8" s="1" t="s">
        <v>247</v>
      </c>
      <c r="C8" s="1" t="s">
        <v>247</v>
      </c>
      <c r="D8" s="1" t="s">
        <v>290</v>
      </c>
      <c r="E8" s="65">
        <v>0</v>
      </c>
      <c r="F8" s="65">
        <v>0</v>
      </c>
      <c r="G8" s="65">
        <v>0</v>
      </c>
      <c r="H8" s="65">
        <f>E8</f>
        <v>0</v>
      </c>
      <c r="I8" s="65">
        <f>F8</f>
        <v>0</v>
      </c>
      <c r="J8" s="65">
        <f>G8</f>
        <v>0</v>
      </c>
      <c r="K8" s="20" t="s">
        <v>272</v>
      </c>
      <c r="L8" s="20"/>
      <c r="M8" s="20"/>
      <c r="N8" s="20"/>
    </row>
    <row r="10" spans="1:14" ht="22" x14ac:dyDescent="0.3">
      <c r="A10" s="91" t="s">
        <v>273</v>
      </c>
      <c r="B10" s="91"/>
      <c r="C10" s="91"/>
      <c r="D10" s="91"/>
      <c r="E10" s="91"/>
      <c r="F10" s="91"/>
      <c r="G10" s="91"/>
      <c r="H10" s="91"/>
      <c r="I10" s="91"/>
      <c r="J10" s="91"/>
      <c r="K10" s="91"/>
    </row>
    <row r="11" spans="1:14" x14ac:dyDescent="0.2">
      <c r="A11" s="10" t="s">
        <v>274</v>
      </c>
      <c r="H11" s="45">
        <f>SUM(H5:H8)</f>
        <v>79439.260000000009</v>
      </c>
      <c r="I11" s="1">
        <f>SUM(I5:I8)</f>
        <v>130498.8</v>
      </c>
      <c r="J11" s="1">
        <f>SUM(J5:J8)</f>
        <v>174793</v>
      </c>
      <c r="K11" s="10" t="s">
        <v>277</v>
      </c>
    </row>
    <row r="12" spans="1:14" x14ac:dyDescent="0.2">
      <c r="A12" s="10" t="s">
        <v>275</v>
      </c>
      <c r="H12" s="7">
        <f>'Deal Fact Sheet'!C50-'Deal Fact Sheet'!C49</f>
        <v>-61741.060000000012</v>
      </c>
      <c r="I12" s="7">
        <f>H12</f>
        <v>-61741.060000000012</v>
      </c>
      <c r="J12" s="7">
        <f>H12</f>
        <v>-61741.060000000012</v>
      </c>
      <c r="K12" s="10" t="s">
        <v>279</v>
      </c>
    </row>
    <row r="13" spans="1:14" x14ac:dyDescent="0.2">
      <c r="A13" s="10" t="s">
        <v>276</v>
      </c>
      <c r="H13" s="45">
        <f>H11-H12</f>
        <v>141180.32</v>
      </c>
      <c r="I13" s="7">
        <f>I11-I12</f>
        <v>192239.86000000002</v>
      </c>
      <c r="J13" s="7">
        <f>J11-J12</f>
        <v>236534.06</v>
      </c>
      <c r="K13" s="10" t="s">
        <v>278</v>
      </c>
    </row>
    <row r="15" spans="1:14" ht="22" x14ac:dyDescent="0.3">
      <c r="A15" s="91" t="s">
        <v>280</v>
      </c>
      <c r="B15" s="91"/>
      <c r="C15" s="91"/>
      <c r="D15" s="91"/>
      <c r="E15" s="91"/>
      <c r="F15" s="91"/>
      <c r="G15" s="91"/>
      <c r="H15" s="91"/>
      <c r="I15" s="91"/>
      <c r="J15" s="91"/>
      <c r="K15" s="91"/>
    </row>
    <row r="16" spans="1:14" x14ac:dyDescent="0.2">
      <c r="A16" s="10" t="s">
        <v>281</v>
      </c>
      <c r="I16" s="7">
        <f>'Deal Fact Sheet'!C47</f>
        <v>1776491.7985799999</v>
      </c>
      <c r="K16" t="s">
        <v>285</v>
      </c>
    </row>
    <row r="17" spans="1:11" x14ac:dyDescent="0.2">
      <c r="A17" s="10" t="s">
        <v>282</v>
      </c>
      <c r="I17" s="7">
        <f>'Deal Fact Sheet'!C55</f>
        <v>2117972.9998625997</v>
      </c>
      <c r="K17" t="s">
        <v>286</v>
      </c>
    </row>
    <row r="18" spans="1:11" x14ac:dyDescent="0.2">
      <c r="A18" s="10" t="s">
        <v>283</v>
      </c>
      <c r="I18" s="1">
        <f>I13/I16-1</f>
        <v>-0.89178680129361543</v>
      </c>
      <c r="K18" t="s">
        <v>287</v>
      </c>
    </row>
    <row r="19" spans="1:11" x14ac:dyDescent="0.2">
      <c r="A19" s="10" t="s">
        <v>284</v>
      </c>
      <c r="I19" s="1">
        <f>I13/I17-1</f>
        <v>-0.90923403649977064</v>
      </c>
      <c r="K19" t="s">
        <v>288</v>
      </c>
    </row>
    <row r="21" spans="1:11" ht="22" x14ac:dyDescent="0.3">
      <c r="A21" s="91" t="s">
        <v>289</v>
      </c>
      <c r="B21" s="91"/>
      <c r="C21" s="91"/>
      <c r="D21" s="91"/>
      <c r="E21" s="91"/>
      <c r="F21" s="91"/>
      <c r="G21" s="91"/>
      <c r="H21" s="91"/>
      <c r="I21" s="91"/>
      <c r="J21" s="91"/>
      <c r="K21" s="91"/>
    </row>
    <row r="22" spans="1:11" x14ac:dyDescent="0.2">
      <c r="A22" s="102" t="s">
        <v>383</v>
      </c>
      <c r="B22" s="103"/>
      <c r="C22" s="103"/>
      <c r="D22" s="103"/>
      <c r="E22" s="103"/>
      <c r="F22" s="103"/>
      <c r="G22" s="103"/>
      <c r="H22" s="103"/>
      <c r="I22" s="103"/>
    </row>
    <row r="23" spans="1:11" x14ac:dyDescent="0.2">
      <c r="A23" s="103"/>
      <c r="B23" s="103"/>
      <c r="C23" s="103"/>
      <c r="D23" s="103"/>
      <c r="E23" s="103"/>
      <c r="F23" s="103"/>
      <c r="G23" s="103"/>
      <c r="H23" s="103"/>
      <c r="I23" s="103"/>
    </row>
    <row r="24" spans="1:11" x14ac:dyDescent="0.2">
      <c r="A24" s="103"/>
      <c r="B24" s="103"/>
      <c r="C24" s="103"/>
      <c r="D24" s="103"/>
      <c r="E24" s="103"/>
      <c r="F24" s="103"/>
      <c r="G24" s="103"/>
      <c r="H24" s="103"/>
      <c r="I24" s="103"/>
    </row>
    <row r="25" spans="1:11" x14ac:dyDescent="0.2">
      <c r="A25" s="103"/>
      <c r="B25" s="103"/>
      <c r="C25" s="103"/>
      <c r="D25" s="103"/>
      <c r="E25" s="103"/>
      <c r="F25" s="103"/>
      <c r="G25" s="103"/>
      <c r="H25" s="103"/>
      <c r="I25" s="103"/>
    </row>
    <row r="26" spans="1:11" x14ac:dyDescent="0.2">
      <c r="A26" s="103"/>
      <c r="B26" s="103"/>
      <c r="C26" s="103"/>
      <c r="D26" s="103"/>
      <c r="E26" s="103"/>
      <c r="F26" s="103"/>
      <c r="G26" s="103"/>
      <c r="H26" s="103"/>
      <c r="I26" s="103"/>
    </row>
  </sheetData>
  <mergeCells count="6">
    <mergeCell ref="A22:I26"/>
    <mergeCell ref="A1:J1"/>
    <mergeCell ref="A4:K4"/>
    <mergeCell ref="A10:K10"/>
    <mergeCell ref="A15:K15"/>
    <mergeCell ref="A21:K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CA791-043C-5140-8074-21748DE6D6DD}">
  <dimension ref="A1:I42"/>
  <sheetViews>
    <sheetView showGridLines="0" tabSelected="1" workbookViewId="0">
      <pane ySplit="3" topLeftCell="A4" activePane="bottomLeft" state="frozen"/>
      <selection pane="bottomLeft" activeCell="K14" sqref="K14"/>
    </sheetView>
  </sheetViews>
  <sheetFormatPr baseColWidth="10" defaultColWidth="10.83203125" defaultRowHeight="16" x14ac:dyDescent="0.2"/>
  <cols>
    <col min="1" max="1" width="27.6640625" customWidth="1"/>
    <col min="2" max="2" width="11.6640625" customWidth="1"/>
    <col min="3" max="6" width="12.5" bestFit="1" customWidth="1"/>
    <col min="7" max="7" width="14.6640625" customWidth="1"/>
    <col min="8" max="8" width="25.83203125" customWidth="1"/>
    <col min="9" max="9" width="12.5" customWidth="1"/>
  </cols>
  <sheetData>
    <row r="1" spans="1:9" s="5" customFormat="1" ht="22" x14ac:dyDescent="0.3">
      <c r="A1" s="93" t="s">
        <v>328</v>
      </c>
      <c r="B1" s="93"/>
      <c r="C1" s="93"/>
      <c r="D1" s="93"/>
      <c r="E1" s="93"/>
      <c r="F1" s="93"/>
      <c r="G1" s="93"/>
      <c r="H1" s="93"/>
    </row>
    <row r="3" spans="1:9" s="2" customFormat="1" x14ac:dyDescent="0.2">
      <c r="A3" s="4" t="s">
        <v>1</v>
      </c>
      <c r="B3" s="4" t="s">
        <v>291</v>
      </c>
      <c r="C3" s="4" t="s">
        <v>292</v>
      </c>
      <c r="D3" s="4" t="s">
        <v>293</v>
      </c>
      <c r="E3" s="4" t="s">
        <v>294</v>
      </c>
      <c r="F3" s="4" t="s">
        <v>295</v>
      </c>
      <c r="G3" s="4" t="s">
        <v>296</v>
      </c>
      <c r="H3" s="4" t="s">
        <v>7</v>
      </c>
      <c r="I3" s="4"/>
    </row>
    <row r="4" spans="1:9" ht="22" x14ac:dyDescent="0.3">
      <c r="A4" s="91" t="s">
        <v>297</v>
      </c>
      <c r="B4" s="91"/>
      <c r="C4" s="91"/>
      <c r="D4" s="91"/>
      <c r="E4" s="91"/>
      <c r="F4" s="91"/>
      <c r="G4" s="91"/>
      <c r="H4" s="91"/>
    </row>
    <row r="5" spans="1:9" x14ac:dyDescent="0.2">
      <c r="A5" t="s">
        <v>268</v>
      </c>
      <c r="B5" s="47">
        <f>'Deal Fact Sheet'!C25</f>
        <v>18674</v>
      </c>
      <c r="C5" s="47">
        <f>B5*(1+B6)</f>
        <v>25209.9</v>
      </c>
      <c r="D5" s="47">
        <f t="shared" ref="D5:F5" si="0">C5*(1+C6)</f>
        <v>32772.870000000003</v>
      </c>
      <c r="E5" s="47">
        <f t="shared" si="0"/>
        <v>40966.087500000001</v>
      </c>
      <c r="F5" s="47">
        <f t="shared" si="0"/>
        <v>49159.305</v>
      </c>
      <c r="H5" t="s">
        <v>306</v>
      </c>
    </row>
    <row r="6" spans="1:9" x14ac:dyDescent="0.2">
      <c r="A6" t="s">
        <v>298</v>
      </c>
      <c r="B6" s="50">
        <v>0.35</v>
      </c>
      <c r="C6" s="50">
        <v>0.3</v>
      </c>
      <c r="D6" s="50">
        <v>0.25</v>
      </c>
      <c r="E6" s="50">
        <v>0.2</v>
      </c>
      <c r="F6" s="50">
        <v>0.15</v>
      </c>
      <c r="H6" t="s">
        <v>705</v>
      </c>
    </row>
    <row r="7" spans="1:9" x14ac:dyDescent="0.2">
      <c r="A7" t="s">
        <v>192</v>
      </c>
      <c r="B7" s="47">
        <f>B5*B8</f>
        <v>6535.9</v>
      </c>
      <c r="C7" s="47">
        <f>C5*C8</f>
        <v>9453.7125000000015</v>
      </c>
      <c r="D7" s="47">
        <f t="shared" ref="D7:F7" si="1">D5*D8</f>
        <v>13109.148000000001</v>
      </c>
      <c r="E7" s="47">
        <f t="shared" si="1"/>
        <v>17410.587187500001</v>
      </c>
      <c r="F7" s="47">
        <f t="shared" si="1"/>
        <v>22121.687249999999</v>
      </c>
      <c r="H7" t="s">
        <v>307</v>
      </c>
    </row>
    <row r="8" spans="1:9" x14ac:dyDescent="0.2">
      <c r="A8" t="s">
        <v>193</v>
      </c>
      <c r="B8" s="50">
        <v>0.35</v>
      </c>
      <c r="C8" s="50">
        <v>0.375</v>
      </c>
      <c r="D8" s="50">
        <v>0.4</v>
      </c>
      <c r="E8" s="50">
        <v>0.42499999999999999</v>
      </c>
      <c r="F8" s="50">
        <v>0.45</v>
      </c>
      <c r="H8" t="s">
        <v>308</v>
      </c>
    </row>
    <row r="9" spans="1:9" x14ac:dyDescent="0.2">
      <c r="A9" t="s">
        <v>299</v>
      </c>
      <c r="B9" s="49">
        <f>B7*25%</f>
        <v>1633.9749999999999</v>
      </c>
      <c r="C9" s="49">
        <f t="shared" ref="C9:F9" si="2">C7*25%</f>
        <v>2363.4281250000004</v>
      </c>
      <c r="D9" s="49">
        <f t="shared" si="2"/>
        <v>3277.2870000000003</v>
      </c>
      <c r="E9" s="49">
        <f t="shared" si="2"/>
        <v>4352.6467968750003</v>
      </c>
      <c r="F9" s="49">
        <f t="shared" si="2"/>
        <v>5530.4218124999998</v>
      </c>
      <c r="H9" t="s">
        <v>309</v>
      </c>
    </row>
    <row r="10" spans="1:9" x14ac:dyDescent="0.2">
      <c r="A10" t="s">
        <v>300</v>
      </c>
      <c r="B10" s="49">
        <f>B5*B11</f>
        <v>20728.140000000003</v>
      </c>
      <c r="C10" s="49">
        <f t="shared" ref="C10:F10" si="3">C5*C11</f>
        <v>21428.415000000001</v>
      </c>
      <c r="D10" s="49">
        <f t="shared" si="3"/>
        <v>11470.504500000001</v>
      </c>
      <c r="E10" s="49">
        <f t="shared" si="3"/>
        <v>11265.674062500002</v>
      </c>
      <c r="F10" s="49">
        <f t="shared" si="3"/>
        <v>11060.843625</v>
      </c>
      <c r="H10" t="s">
        <v>310</v>
      </c>
    </row>
    <row r="11" spans="1:9" x14ac:dyDescent="0.2">
      <c r="A11" t="s">
        <v>301</v>
      </c>
      <c r="B11" s="51">
        <v>1.1100000000000001</v>
      </c>
      <c r="C11" s="51">
        <v>0.85</v>
      </c>
      <c r="D11" s="51">
        <v>0.35</v>
      </c>
      <c r="E11" s="52">
        <v>0.27500000000000002</v>
      </c>
      <c r="F11" s="52">
        <v>0.22500000000000001</v>
      </c>
      <c r="H11" t="s">
        <v>311</v>
      </c>
    </row>
    <row r="12" spans="1:9" x14ac:dyDescent="0.2">
      <c r="A12" t="s">
        <v>302</v>
      </c>
      <c r="B12" s="10">
        <f>B5*B13</f>
        <v>560.22</v>
      </c>
      <c r="C12" s="10">
        <f t="shared" ref="C12:F12" si="4">C5*C13</f>
        <v>756.29700000000003</v>
      </c>
      <c r="D12" s="10">
        <f t="shared" si="4"/>
        <v>819.32175000000007</v>
      </c>
      <c r="E12" s="10">
        <f t="shared" si="4"/>
        <v>1024.1521875000001</v>
      </c>
      <c r="F12" s="10">
        <f t="shared" si="4"/>
        <v>983.18610000000001</v>
      </c>
      <c r="H12" t="s">
        <v>312</v>
      </c>
    </row>
    <row r="13" spans="1:9" x14ac:dyDescent="0.2">
      <c r="A13" t="s">
        <v>303</v>
      </c>
      <c r="B13" s="46">
        <v>0.03</v>
      </c>
      <c r="C13" s="46">
        <v>0.03</v>
      </c>
      <c r="D13" s="46">
        <v>2.5000000000000001E-2</v>
      </c>
      <c r="E13" s="46">
        <v>2.5000000000000001E-2</v>
      </c>
      <c r="F13" s="46">
        <v>0.02</v>
      </c>
      <c r="H13" t="s">
        <v>313</v>
      </c>
    </row>
    <row r="14" spans="1:9" x14ac:dyDescent="0.2">
      <c r="A14" t="s">
        <v>304</v>
      </c>
      <c r="B14" s="47">
        <f>B7-B9-B10-B12</f>
        <v>-16386.435000000005</v>
      </c>
      <c r="C14" s="47">
        <f t="shared" ref="C14:F14" si="5">C7-C9-C10-C12</f>
        <v>-15094.427625</v>
      </c>
      <c r="D14" s="47">
        <f t="shared" si="5"/>
        <v>-2457.9652500000002</v>
      </c>
      <c r="E14" s="47">
        <f t="shared" si="5"/>
        <v>768.11414062499875</v>
      </c>
      <c r="F14" s="47">
        <f t="shared" si="5"/>
        <v>4547.235712499999</v>
      </c>
      <c r="H14" t="s">
        <v>314</v>
      </c>
    </row>
    <row r="15" spans="1:9" x14ac:dyDescent="0.2">
      <c r="A15" t="s">
        <v>305</v>
      </c>
      <c r="B15" s="10">
        <f>B14/B5</f>
        <v>-0.87750000000000028</v>
      </c>
      <c r="C15" s="10">
        <f t="shared" ref="C15:F15" si="6">C14/C5</f>
        <v>-0.59875</v>
      </c>
      <c r="D15" s="10">
        <f t="shared" si="6"/>
        <v>-7.4999999999999997E-2</v>
      </c>
      <c r="E15" s="10">
        <f t="shared" si="6"/>
        <v>1.8749999999999968E-2</v>
      </c>
      <c r="F15" s="10">
        <f t="shared" si="6"/>
        <v>9.2499999999999985E-2</v>
      </c>
      <c r="H15" t="s">
        <v>315</v>
      </c>
    </row>
    <row r="17" spans="1:8" ht="22" x14ac:dyDescent="0.3">
      <c r="A17" s="91" t="s">
        <v>316</v>
      </c>
      <c r="B17" s="91"/>
      <c r="C17" s="91"/>
      <c r="D17" s="91"/>
      <c r="E17" s="91"/>
      <c r="F17" s="91"/>
      <c r="G17" s="91"/>
      <c r="H17" s="91"/>
    </row>
    <row r="18" spans="1:8" x14ac:dyDescent="0.2">
      <c r="A18" t="s">
        <v>317</v>
      </c>
      <c r="B18" s="46">
        <v>0.12</v>
      </c>
    </row>
    <row r="19" spans="1:8" x14ac:dyDescent="0.2">
      <c r="A19" t="s">
        <v>318</v>
      </c>
      <c r="B19" s="46">
        <v>0.04</v>
      </c>
    </row>
    <row r="20" spans="1:8" x14ac:dyDescent="0.2">
      <c r="A20" t="s">
        <v>319</v>
      </c>
      <c r="B20" s="47">
        <f>F14</f>
        <v>4547.235712499999</v>
      </c>
    </row>
    <row r="21" spans="1:8" x14ac:dyDescent="0.2">
      <c r="A21" t="s">
        <v>320</v>
      </c>
      <c r="B21" s="10">
        <f>B20*(1+B19)/(B18-B19)</f>
        <v>59114.064262499989</v>
      </c>
    </row>
    <row r="22" spans="1:8" x14ac:dyDescent="0.2">
      <c r="A22" t="s">
        <v>321</v>
      </c>
      <c r="B22" s="48">
        <f>NPV(B18,B14:F14)</f>
        <v>-25345.08785306225</v>
      </c>
    </row>
    <row r="23" spans="1:8" x14ac:dyDescent="0.2">
      <c r="A23" t="s">
        <v>322</v>
      </c>
      <c r="B23" s="10">
        <f>B21/(1+B18)^5</f>
        <v>33542.907613217583</v>
      </c>
    </row>
    <row r="24" spans="1:8" x14ac:dyDescent="0.2">
      <c r="A24" t="s">
        <v>323</v>
      </c>
      <c r="B24" s="48">
        <f>B22+B23</f>
        <v>8197.8197601553329</v>
      </c>
    </row>
    <row r="25" spans="1:8" x14ac:dyDescent="0.2">
      <c r="A25" t="s">
        <v>324</v>
      </c>
      <c r="B25" s="49">
        <f>'Deal Fact Sheet'!C50-'Deal Fact Sheet'!C49</f>
        <v>-61741.060000000012</v>
      </c>
    </row>
    <row r="26" spans="1:8" x14ac:dyDescent="0.2">
      <c r="A26" t="s">
        <v>276</v>
      </c>
      <c r="B26" s="48">
        <f>B24-B25</f>
        <v>69938.879760155338</v>
      </c>
    </row>
    <row r="27" spans="1:8" x14ac:dyDescent="0.2">
      <c r="A27" t="s">
        <v>325</v>
      </c>
      <c r="B27" s="53">
        <f>B26/'Deal Fact Sheet'!C47-1</f>
        <v>-0.9606309019742959</v>
      </c>
    </row>
    <row r="28" spans="1:8" x14ac:dyDescent="0.2">
      <c r="A28" t="s">
        <v>326</v>
      </c>
      <c r="B28" s="53">
        <f>B26/'Deal Fact Sheet'!C55-1</f>
        <v>-0.96697838935402269</v>
      </c>
    </row>
    <row r="30" spans="1:8" ht="22" x14ac:dyDescent="0.3">
      <c r="A30" s="91" t="s">
        <v>327</v>
      </c>
      <c r="B30" s="91"/>
      <c r="C30" s="91"/>
      <c r="D30" s="91"/>
      <c r="E30" s="91"/>
      <c r="F30" s="91"/>
      <c r="G30" s="91"/>
      <c r="H30" s="91"/>
    </row>
    <row r="31" spans="1:8" ht="16" customHeight="1" x14ac:dyDescent="0.2">
      <c r="A31" s="112" t="s">
        <v>704</v>
      </c>
      <c r="B31" s="112"/>
      <c r="C31" s="112"/>
      <c r="D31" s="112"/>
      <c r="E31" s="112"/>
      <c r="F31" s="112"/>
      <c r="G31" s="112"/>
      <c r="H31" s="112"/>
    </row>
    <row r="32" spans="1:8" x14ac:dyDescent="0.2">
      <c r="A32" s="112"/>
      <c r="B32" s="112"/>
      <c r="C32" s="112"/>
      <c r="D32" s="112"/>
      <c r="E32" s="112"/>
      <c r="F32" s="112"/>
      <c r="G32" s="112"/>
      <c r="H32" s="112"/>
    </row>
    <row r="33" spans="1:8" x14ac:dyDescent="0.2">
      <c r="A33" s="112"/>
      <c r="B33" s="112"/>
      <c r="C33" s="112"/>
      <c r="D33" s="112"/>
      <c r="E33" s="112"/>
      <c r="F33" s="112"/>
      <c r="G33" s="112"/>
      <c r="H33" s="112"/>
    </row>
    <row r="34" spans="1:8" x14ac:dyDescent="0.2">
      <c r="A34" s="112"/>
      <c r="B34" s="112"/>
      <c r="C34" s="112"/>
      <c r="D34" s="112"/>
      <c r="E34" s="112"/>
      <c r="F34" s="112"/>
      <c r="G34" s="112"/>
      <c r="H34" s="112"/>
    </row>
    <row r="35" spans="1:8" x14ac:dyDescent="0.2">
      <c r="A35" s="100"/>
      <c r="B35" s="100"/>
      <c r="C35" s="100"/>
      <c r="D35" s="100"/>
      <c r="E35" s="100"/>
      <c r="F35" s="100"/>
      <c r="G35" s="100"/>
      <c r="H35" s="100"/>
    </row>
    <row r="36" spans="1:8" ht="22" x14ac:dyDescent="0.3">
      <c r="A36" s="91" t="s">
        <v>330</v>
      </c>
      <c r="B36" s="91"/>
      <c r="C36" s="91"/>
      <c r="D36" s="91"/>
      <c r="E36" s="91"/>
      <c r="F36" s="91"/>
      <c r="G36" s="91"/>
      <c r="H36" s="91"/>
    </row>
    <row r="37" spans="1:8" x14ac:dyDescent="0.2">
      <c r="A37" s="56" t="s">
        <v>329</v>
      </c>
      <c r="B37" s="54">
        <v>0.03</v>
      </c>
      <c r="C37" s="54">
        <v>3.5000000000000003E-2</v>
      </c>
      <c r="D37" s="54">
        <v>0.04</v>
      </c>
      <c r="E37" s="54">
        <v>4.4999999999999998E-2</v>
      </c>
      <c r="F37" s="54">
        <v>0.05</v>
      </c>
    </row>
    <row r="38" spans="1:8" x14ac:dyDescent="0.2">
      <c r="A38" s="55">
        <v>0.1</v>
      </c>
      <c r="B38" s="71">
        <f>NPV($A38,$B$14:$F$14)+(($F$14*(1+B$37))/($A38-B$37))/(1+$A38)^5-$B$25</f>
        <v>77416.396474930938</v>
      </c>
      <c r="C38" s="71">
        <f>NPV($A38,$B$14:$F$14)+(($F$14*(1+C$37))/($A38-C$37))/(1+$A38)^5-$B$25</f>
        <v>80829.388976418937</v>
      </c>
      <c r="D38" s="71">
        <f>NPV($A38,$B$14:$F$14)+(($F$14*(1+D$37))/($A38-D$37))/(1+$A38)^5-$B$25</f>
        <v>84811.213561488257</v>
      </c>
      <c r="E38" s="71">
        <f>NPV($A38,$B$14:$F$14)+(($F$14*(1+E$37))/($A38-E$37))/(1+$A38)^5-$B$25</f>
        <v>89517.006252933817</v>
      </c>
      <c r="F38" s="71">
        <f>NPV($A38,$B$14:$F$14)+(($F$14*(1+F$37))/($A38-F$37))/(1+$A38)^5-$B$25</f>
        <v>95163.957482668498</v>
      </c>
    </row>
    <row r="39" spans="1:8" x14ac:dyDescent="0.2">
      <c r="A39" s="55">
        <v>0.11</v>
      </c>
      <c r="B39" s="71">
        <f t="shared" ref="B39:B42" si="7">NPV($A39,$B$14:$F$14)+(($F$14*(1+B$37))/($A39-B$37))/(1+$A39)^5-$B$25</f>
        <v>70878.830070314114</v>
      </c>
      <c r="C39" s="71">
        <f t="shared" ref="C39:F42" si="8">NPV($A39,$B$14:$F$14)+(($F$14*(1+C$37))/($A39-C$37))/(1+$A39)^5-$B$25</f>
        <v>73375.000912449177</v>
      </c>
      <c r="D39" s="71">
        <f t="shared" si="8"/>
        <v>76227.767589174939</v>
      </c>
      <c r="E39" s="71">
        <f t="shared" si="8"/>
        <v>79519.421446935434</v>
      </c>
      <c r="F39" s="71">
        <f t="shared" si="8"/>
        <v>83359.684280989371</v>
      </c>
    </row>
    <row r="40" spans="1:8" x14ac:dyDescent="0.2">
      <c r="A40" s="55">
        <v>0.12</v>
      </c>
      <c r="B40" s="71">
        <f t="shared" si="7"/>
        <v>65925.198507291701</v>
      </c>
      <c r="C40" s="71">
        <f t="shared" si="8"/>
        <v>67813.989685109889</v>
      </c>
      <c r="D40" s="71">
        <f t="shared" si="8"/>
        <v>69938.879760155338</v>
      </c>
      <c r="E40" s="71">
        <f t="shared" si="8"/>
        <v>72347.088511873531</v>
      </c>
      <c r="F40" s="71">
        <f t="shared" si="8"/>
        <v>75099.327085265744</v>
      </c>
    </row>
    <row r="41" spans="1:8" x14ac:dyDescent="0.2">
      <c r="A41" s="55">
        <v>0.13</v>
      </c>
      <c r="B41" s="71">
        <f t="shared" si="7"/>
        <v>62075.29294509349</v>
      </c>
      <c r="C41" s="71">
        <f t="shared" si="8"/>
        <v>63543.137588066507</v>
      </c>
      <c r="D41" s="71">
        <f t="shared" si="8"/>
        <v>65174.076080258747</v>
      </c>
      <c r="E41" s="71">
        <f t="shared" si="8"/>
        <v>66996.889689179472</v>
      </c>
      <c r="F41" s="71">
        <f t="shared" si="8"/>
        <v>69047.55499921531</v>
      </c>
    </row>
    <row r="42" spans="1:8" x14ac:dyDescent="0.2">
      <c r="A42" s="55">
        <v>0.14000000000000001</v>
      </c>
      <c r="B42" s="71">
        <f t="shared" si="7"/>
        <v>59023.765375245624</v>
      </c>
      <c r="C42" s="71">
        <f t="shared" si="8"/>
        <v>60189.275583871007</v>
      </c>
      <c r="D42" s="71">
        <f t="shared" si="8"/>
        <v>61471.336813358925</v>
      </c>
      <c r="E42" s="71">
        <f t="shared" si="8"/>
        <v>62888.351856477151</v>
      </c>
      <c r="F42" s="71">
        <f t="shared" si="8"/>
        <v>64462.813015497406</v>
      </c>
    </row>
  </sheetData>
  <mergeCells count="7">
    <mergeCell ref="A35:H35"/>
    <mergeCell ref="A36:H36"/>
    <mergeCell ref="A1:H1"/>
    <mergeCell ref="A4:H4"/>
    <mergeCell ref="A17:H17"/>
    <mergeCell ref="A30:H30"/>
    <mergeCell ref="A31:H34"/>
  </mergeCells>
  <conditionalFormatting sqref="B38:F42">
    <cfRule type="colorScale" priority="1">
      <colorScale>
        <cfvo type="min"/>
        <cfvo type="max"/>
        <color theme="3" tint="0.749992370372631"/>
        <color rgb="FF002060"/>
      </colorScale>
    </cfRule>
    <cfRule type="colorScale" priority="2">
      <colorScale>
        <cfvo type="min"/>
        <cfvo type="max"/>
        <color theme="3" tint="0.89999084444715716"/>
        <color rgb="FF002060"/>
      </colorScale>
    </cfRule>
    <cfRule type="colorScale" priority="4">
      <colorScale>
        <cfvo type="min"/>
        <cfvo type="max"/>
        <color theme="3" tint="0.499984740745262"/>
        <color rgb="FF002060"/>
      </colorScale>
    </cfRule>
    <cfRule type="colorScale" priority="5">
      <colorScale>
        <cfvo type="min"/>
        <cfvo type="max"/>
        <color rgb="FF0070C0"/>
        <color rgb="FF002060"/>
      </colorScale>
    </cfRule>
    <cfRule type="colorScale" priority="6">
      <colorScale>
        <cfvo type="min"/>
        <cfvo type="percentile" val="50"/>
        <cfvo type="max"/>
        <color rgb="FF63BE7B"/>
        <color rgb="FFFCFCFF"/>
        <color rgb="FFF8696B"/>
      </colorScale>
    </cfRule>
  </conditionalFormatting>
  <conditionalFormatting sqref="H39">
    <cfRule type="colorScale" priority="3">
      <colorScale>
        <cfvo type="min"/>
        <cfvo type="max"/>
        <color theme="3" tint="0.749992370372631"/>
        <color rgb="FF002060"/>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884A8-A96D-F44E-978E-8C4428C7BC20}">
  <dimension ref="A1:H41"/>
  <sheetViews>
    <sheetView showGridLines="0" zoomScale="86" workbookViewId="0">
      <selection activeCell="C8" sqref="C8"/>
    </sheetView>
  </sheetViews>
  <sheetFormatPr baseColWidth="10" defaultColWidth="10.83203125" defaultRowHeight="16" x14ac:dyDescent="0.2"/>
  <cols>
    <col min="1" max="6" width="16.33203125" customWidth="1"/>
    <col min="7" max="7" width="51.83203125" customWidth="1"/>
  </cols>
  <sheetData>
    <row r="1" spans="1:8" s="2" customFormat="1" ht="22" x14ac:dyDescent="0.3">
      <c r="A1" s="93" t="s">
        <v>331</v>
      </c>
      <c r="B1" s="93"/>
      <c r="C1" s="93"/>
      <c r="D1" s="93"/>
      <c r="E1" s="93"/>
      <c r="F1" s="93"/>
      <c r="G1" s="93"/>
      <c r="H1" s="93"/>
    </row>
    <row r="3" spans="1:8" s="5" customFormat="1" x14ac:dyDescent="0.2">
      <c r="A3" s="2" t="s">
        <v>332</v>
      </c>
      <c r="B3" s="4" t="s">
        <v>333</v>
      </c>
      <c r="C3" s="4" t="s">
        <v>334</v>
      </c>
      <c r="D3" s="4" t="s">
        <v>335</v>
      </c>
      <c r="E3" s="4" t="s">
        <v>336</v>
      </c>
      <c r="F3" s="4" t="s">
        <v>337</v>
      </c>
      <c r="G3" s="58" t="s">
        <v>338</v>
      </c>
    </row>
    <row r="4" spans="1:8" x14ac:dyDescent="0.2">
      <c r="A4" t="s">
        <v>339</v>
      </c>
      <c r="B4" s="57">
        <f>'Deal Fact Sheet'!C47</f>
        <v>1776491.7985799999</v>
      </c>
      <c r="C4" s="57">
        <f>'Deal Fact Sheet'!C47</f>
        <v>1776491.7985799999</v>
      </c>
      <c r="D4" s="57">
        <f>'Deal Fact Sheet'!C47</f>
        <v>1776491.7985799999</v>
      </c>
      <c r="E4" s="57">
        <f>0</f>
        <v>0</v>
      </c>
      <c r="F4" s="57">
        <f>C4/'Deal Fact Sheet'!C55-1</f>
        <v>-0.16123019571295427</v>
      </c>
      <c r="G4" s="10" t="s">
        <v>344</v>
      </c>
    </row>
    <row r="5" spans="1:8" x14ac:dyDescent="0.2">
      <c r="A5" t="s">
        <v>340</v>
      </c>
      <c r="B5" s="57">
        <f>'Deal Fact Sheet'!C55</f>
        <v>2117972.9998625997</v>
      </c>
      <c r="C5" s="57">
        <f>'Deal Fact Sheet'!C55</f>
        <v>2117972.9998625997</v>
      </c>
      <c r="D5" s="57">
        <f>'Deal Fact Sheet'!C55</f>
        <v>2117972.9998625997</v>
      </c>
      <c r="E5" s="57">
        <f>C5/'Deal Fact Sheet'!C47-1</f>
        <v>0.19222222222222207</v>
      </c>
      <c r="F5" s="57">
        <v>0</v>
      </c>
      <c r="G5" s="10" t="s">
        <v>345</v>
      </c>
    </row>
    <row r="6" spans="1:8" x14ac:dyDescent="0.2">
      <c r="A6" t="s">
        <v>341</v>
      </c>
      <c r="B6" s="65">
        <f>'Segment SOTP'!H13</f>
        <v>141180.32</v>
      </c>
      <c r="C6" s="65">
        <f>'Segment SOTP'!I13</f>
        <v>192239.86000000002</v>
      </c>
      <c r="D6" s="65">
        <f>'Segment SOTP'!J13</f>
        <v>236534.06</v>
      </c>
      <c r="E6" s="57">
        <f>C6/'Deal Fact Sheet'!C47-1</f>
        <v>-0.89178680129361543</v>
      </c>
      <c r="F6" s="57">
        <f>C6/'Deal Fact Sheet'!C55-1</f>
        <v>-0.90923403649977064</v>
      </c>
      <c r="G6" s="10" t="s">
        <v>381</v>
      </c>
    </row>
    <row r="7" spans="1:8" x14ac:dyDescent="0.2">
      <c r="A7" t="s">
        <v>342</v>
      </c>
      <c r="B7" s="57">
        <f>MIN('DCF Scenario'!B38:F42)</f>
        <v>59023.765375245624</v>
      </c>
      <c r="C7" s="57">
        <f>'DCF Scenario'!D40</f>
        <v>69938.879760155338</v>
      </c>
      <c r="D7" s="57">
        <f>MAX('DCF Scenario'!B38:F42)</f>
        <v>95163.957482668498</v>
      </c>
      <c r="E7" s="57">
        <f>C7/'Deal Fact Sheet'!C47-1</f>
        <v>-0.9606309019742959</v>
      </c>
      <c r="F7" s="57">
        <f>C7/'Deal Fact Sheet'!C55-1</f>
        <v>-0.96697838935402269</v>
      </c>
      <c r="G7" s="10" t="s">
        <v>346</v>
      </c>
    </row>
    <row r="8" spans="1:8" x14ac:dyDescent="0.2">
      <c r="A8" t="s">
        <v>343</v>
      </c>
      <c r="G8" s="10" t="s">
        <v>347</v>
      </c>
    </row>
    <row r="11" spans="1:8" s="20" customFormat="1" ht="22" x14ac:dyDescent="0.3">
      <c r="A11" s="91" t="s">
        <v>348</v>
      </c>
      <c r="B11" s="91"/>
      <c r="C11" s="91"/>
      <c r="D11" s="91"/>
      <c r="E11" s="91"/>
      <c r="F11" s="91"/>
      <c r="G11" s="91"/>
    </row>
    <row r="12" spans="1:8" s="2" customFormat="1" x14ac:dyDescent="0.2">
      <c r="A12" s="2" t="s">
        <v>349</v>
      </c>
      <c r="B12" s="2" t="s">
        <v>350</v>
      </c>
      <c r="C12" s="2" t="s">
        <v>351</v>
      </c>
      <c r="D12" s="2" t="s">
        <v>352</v>
      </c>
      <c r="E12" s="2" t="s">
        <v>353</v>
      </c>
      <c r="F12" s="2" t="s">
        <v>354</v>
      </c>
      <c r="G12" s="2" t="s">
        <v>338</v>
      </c>
    </row>
    <row r="13" spans="1:8" x14ac:dyDescent="0.2">
      <c r="A13" t="s">
        <v>355</v>
      </c>
      <c r="B13" s="10">
        <f>0</f>
        <v>0</v>
      </c>
      <c r="C13" s="47">
        <f>D4-B4</f>
        <v>0</v>
      </c>
      <c r="D13" s="47">
        <f t="shared" ref="D13:F16" si="0">B4</f>
        <v>1776491.7985799999</v>
      </c>
      <c r="E13" s="47">
        <f t="shared" si="0"/>
        <v>1776491.7985799999</v>
      </c>
      <c r="F13" s="47">
        <f t="shared" si="0"/>
        <v>1776491.7985799999</v>
      </c>
      <c r="G13" t="s">
        <v>358</v>
      </c>
    </row>
    <row r="14" spans="1:8" x14ac:dyDescent="0.2">
      <c r="A14" t="s">
        <v>356</v>
      </c>
      <c r="B14" s="10">
        <f>0</f>
        <v>0</v>
      </c>
      <c r="C14" s="47">
        <f>D5-B5</f>
        <v>0</v>
      </c>
      <c r="D14" s="47">
        <f t="shared" si="0"/>
        <v>2117972.9998625997</v>
      </c>
      <c r="E14" s="47">
        <f t="shared" si="0"/>
        <v>2117972.9998625997</v>
      </c>
      <c r="F14" s="47">
        <f t="shared" si="0"/>
        <v>2117972.9998625997</v>
      </c>
      <c r="G14" t="s">
        <v>359</v>
      </c>
    </row>
    <row r="15" spans="1:8" ht="17" x14ac:dyDescent="0.25">
      <c r="A15" t="s">
        <v>341</v>
      </c>
      <c r="B15" s="10">
        <f>0</f>
        <v>0</v>
      </c>
      <c r="C15" s="47">
        <f>F15-D15</f>
        <v>95353.739999999991</v>
      </c>
      <c r="D15" s="66">
        <f>'Segment SOTP'!H13</f>
        <v>141180.32</v>
      </c>
      <c r="E15" s="66">
        <f>'Segment SOTP'!I13</f>
        <v>192239.86000000002</v>
      </c>
      <c r="F15" s="66">
        <f>'Segment SOTP'!J13</f>
        <v>236534.06</v>
      </c>
      <c r="G15" s="13" t="s">
        <v>381</v>
      </c>
    </row>
    <row r="16" spans="1:8" x14ac:dyDescent="0.2">
      <c r="A16" t="s">
        <v>357</v>
      </c>
      <c r="B16" s="10">
        <f>0</f>
        <v>0</v>
      </c>
      <c r="C16" s="47">
        <f>D7-B7</f>
        <v>36140.192107422874</v>
      </c>
      <c r="D16" s="47">
        <f t="shared" si="0"/>
        <v>59023.765375245624</v>
      </c>
      <c r="E16" s="47">
        <f t="shared" si="0"/>
        <v>69938.879760155338</v>
      </c>
      <c r="F16" s="47">
        <f t="shared" si="0"/>
        <v>95163.957482668498</v>
      </c>
      <c r="G16" t="s">
        <v>360</v>
      </c>
    </row>
    <row r="35" spans="1:7" ht="22" x14ac:dyDescent="0.3">
      <c r="A35" s="91" t="s">
        <v>384</v>
      </c>
      <c r="B35" s="91"/>
      <c r="C35" s="91"/>
      <c r="D35" s="91"/>
      <c r="E35" s="91"/>
      <c r="F35" s="91"/>
      <c r="G35" s="91"/>
    </row>
    <row r="36" spans="1:7" ht="22" customHeight="1" x14ac:dyDescent="0.2">
      <c r="A36" s="98" t="s">
        <v>385</v>
      </c>
      <c r="B36" s="98"/>
      <c r="C36" s="98"/>
      <c r="D36" s="98"/>
      <c r="E36" s="98"/>
      <c r="F36" s="98"/>
    </row>
    <row r="37" spans="1:7" ht="16" customHeight="1" x14ac:dyDescent="0.2">
      <c r="A37" s="98"/>
      <c r="B37" s="98"/>
      <c r="C37" s="98"/>
      <c r="D37" s="98"/>
      <c r="E37" s="98"/>
      <c r="F37" s="98"/>
    </row>
    <row r="38" spans="1:7" x14ac:dyDescent="0.2">
      <c r="A38" s="98"/>
      <c r="B38" s="98"/>
      <c r="C38" s="98"/>
      <c r="D38" s="98"/>
      <c r="E38" s="98"/>
      <c r="F38" s="98"/>
    </row>
    <row r="39" spans="1:7" x14ac:dyDescent="0.2">
      <c r="A39" s="98"/>
      <c r="B39" s="98"/>
      <c r="C39" s="98"/>
      <c r="D39" s="98"/>
      <c r="E39" s="98"/>
      <c r="F39" s="98"/>
    </row>
    <row r="40" spans="1:7" x14ac:dyDescent="0.2">
      <c r="A40" s="64"/>
      <c r="B40" s="64"/>
      <c r="C40" s="64"/>
      <c r="D40" s="64"/>
      <c r="E40" s="64"/>
      <c r="F40" s="64"/>
    </row>
    <row r="41" spans="1:7" x14ac:dyDescent="0.2">
      <c r="A41" s="64"/>
      <c r="B41" s="64"/>
      <c r="C41" s="64"/>
      <c r="D41" s="64"/>
      <c r="E41" s="64"/>
      <c r="F41" s="64"/>
    </row>
  </sheetData>
  <mergeCells count="4">
    <mergeCell ref="A1:H1"/>
    <mergeCell ref="A11:G11"/>
    <mergeCell ref="A35:G35"/>
    <mergeCell ref="A36:F39"/>
  </mergeCells>
  <pageMargins left="0.7" right="0.7" top="0.75" bottom="0.75" header="0.3" footer="0.3"/>
  <ignoredErrors>
    <ignoredError sqref="C15:F15" formula="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71FD-1BF6-8549-86AA-601D71DD7F84}">
  <dimension ref="A1:G44"/>
  <sheetViews>
    <sheetView showGridLines="0" zoomScaleNormal="150" zoomScaleSheetLayoutView="100" workbookViewId="0">
      <pane ySplit="3" topLeftCell="A4" activePane="bottomLeft" state="frozen"/>
      <selection pane="bottomLeft" activeCell="A19" sqref="A19:G19"/>
    </sheetView>
  </sheetViews>
  <sheetFormatPr baseColWidth="10" defaultColWidth="8.83203125" defaultRowHeight="16" x14ac:dyDescent="0.2"/>
  <cols>
    <col min="1" max="1" width="35" customWidth="1"/>
    <col min="2" max="2" width="56.83203125" style="63" customWidth="1"/>
    <col min="3" max="3" width="17.83203125" customWidth="1"/>
    <col min="4" max="4" width="32.33203125" style="1" customWidth="1"/>
    <col min="5" max="5" width="8.83203125" style="1"/>
    <col min="6" max="6" width="101.6640625" customWidth="1"/>
  </cols>
  <sheetData>
    <row r="1" spans="1:7" s="2" customFormat="1" ht="22" x14ac:dyDescent="0.3">
      <c r="A1" s="105" t="s">
        <v>386</v>
      </c>
      <c r="B1" s="105"/>
      <c r="C1" s="105"/>
      <c r="D1" s="105"/>
      <c r="E1" s="105"/>
      <c r="F1" s="105"/>
      <c r="G1" s="105"/>
    </row>
    <row r="3" spans="1:7" s="68" customFormat="1" ht="19" x14ac:dyDescent="0.25">
      <c r="A3" s="68" t="s">
        <v>1</v>
      </c>
      <c r="B3" s="68" t="s">
        <v>3</v>
      </c>
      <c r="C3" s="68" t="s">
        <v>4</v>
      </c>
      <c r="D3" s="68" t="s">
        <v>5</v>
      </c>
      <c r="E3" s="68" t="s">
        <v>6</v>
      </c>
      <c r="F3" s="68" t="s">
        <v>7</v>
      </c>
    </row>
    <row r="4" spans="1:7" ht="22" x14ac:dyDescent="0.3">
      <c r="A4" s="91" t="s">
        <v>387</v>
      </c>
      <c r="B4" s="91"/>
      <c r="C4" s="91"/>
      <c r="D4" s="91"/>
      <c r="E4" s="91"/>
      <c r="F4" s="91"/>
      <c r="G4" s="91"/>
    </row>
    <row r="5" spans="1:7" x14ac:dyDescent="0.2">
      <c r="A5" t="s">
        <v>388</v>
      </c>
      <c r="B5" s="63">
        <f>'Deal Fact Sheet'!C10</f>
        <v>135</v>
      </c>
      <c r="C5" t="s">
        <v>451</v>
      </c>
      <c r="D5" s="1" t="s">
        <v>452</v>
      </c>
      <c r="E5" s="1" t="s">
        <v>36</v>
      </c>
      <c r="F5" t="s">
        <v>423</v>
      </c>
    </row>
    <row r="6" spans="1:7" x14ac:dyDescent="0.2">
      <c r="A6" t="s">
        <v>61</v>
      </c>
      <c r="B6" s="63">
        <f>'Deal Fact Sheet'!C11</f>
        <v>555.55600000000004</v>
      </c>
      <c r="C6" t="s">
        <v>25</v>
      </c>
      <c r="D6" s="1" t="s">
        <v>452</v>
      </c>
      <c r="E6" s="1" t="s">
        <v>36</v>
      </c>
      <c r="F6" t="s">
        <v>424</v>
      </c>
    </row>
    <row r="7" spans="1:7" x14ac:dyDescent="0.2">
      <c r="A7" t="s">
        <v>15</v>
      </c>
      <c r="B7" s="63">
        <f>B5*B6</f>
        <v>75000.060000000012</v>
      </c>
      <c r="C7" t="s">
        <v>26</v>
      </c>
      <c r="D7" s="1" t="s">
        <v>34</v>
      </c>
      <c r="E7" s="1" t="s">
        <v>36</v>
      </c>
      <c r="F7" t="s">
        <v>425</v>
      </c>
    </row>
    <row r="8" spans="1:7" x14ac:dyDescent="0.2">
      <c r="A8" t="s">
        <v>389</v>
      </c>
      <c r="B8" s="63">
        <f>'Deal Fact Sheet'!C13</f>
        <v>83.33</v>
      </c>
      <c r="C8" t="s">
        <v>25</v>
      </c>
      <c r="D8" s="1" t="s">
        <v>367</v>
      </c>
      <c r="E8" s="1" t="s">
        <v>37</v>
      </c>
      <c r="F8" t="s">
        <v>426</v>
      </c>
    </row>
    <row r="9" spans="1:7" x14ac:dyDescent="0.2">
      <c r="A9" t="s">
        <v>390</v>
      </c>
      <c r="B9" s="63">
        <f>IF(B8="N/D","N/D",B7+B8*B5)</f>
        <v>86249.610000000015</v>
      </c>
      <c r="C9" t="s">
        <v>26</v>
      </c>
      <c r="D9" s="1" t="s">
        <v>453</v>
      </c>
      <c r="E9" s="1" t="s">
        <v>37</v>
      </c>
      <c r="F9" t="s">
        <v>427</v>
      </c>
    </row>
    <row r="10" spans="1:7" x14ac:dyDescent="0.2">
      <c r="A10" t="s">
        <v>391</v>
      </c>
      <c r="B10" s="63">
        <f>B6</f>
        <v>555.55600000000004</v>
      </c>
      <c r="C10" t="s">
        <v>25</v>
      </c>
      <c r="D10" s="1" t="s">
        <v>367</v>
      </c>
      <c r="E10" s="1" t="s">
        <v>36</v>
      </c>
      <c r="F10" t="s">
        <v>428</v>
      </c>
    </row>
    <row r="11" spans="1:7" x14ac:dyDescent="0.2">
      <c r="A11" t="s">
        <v>392</v>
      </c>
      <c r="B11" s="63">
        <v>0</v>
      </c>
      <c r="C11" t="s">
        <v>25</v>
      </c>
      <c r="D11" s="1" t="s">
        <v>367</v>
      </c>
      <c r="E11" s="1" t="s">
        <v>36</v>
      </c>
      <c r="F11" t="s">
        <v>429</v>
      </c>
    </row>
    <row r="12" spans="1:7" x14ac:dyDescent="0.2">
      <c r="A12" t="s">
        <v>465</v>
      </c>
      <c r="B12" s="63" t="str">
        <f>TEXT(B10/(B10+B11),"0.0%")&amp;" primary / "&amp;TEXT(B11/(B10+B11),"0.0%")&amp;" secondary"</f>
        <v>100.0% primary / 0.0% secondary</v>
      </c>
      <c r="C12" t="s">
        <v>89</v>
      </c>
      <c r="D12" s="1" t="s">
        <v>453</v>
      </c>
      <c r="E12" s="1" t="s">
        <v>36</v>
      </c>
      <c r="F12" t="s">
        <v>430</v>
      </c>
    </row>
    <row r="13" spans="1:7" x14ac:dyDescent="0.2">
      <c r="A13" t="s">
        <v>466</v>
      </c>
      <c r="B13" s="49">
        <f>'Deal Fact Sheet'!C46</f>
        <v>13159.198507999999</v>
      </c>
      <c r="C13" t="s">
        <v>25</v>
      </c>
      <c r="D13" s="1" t="s">
        <v>367</v>
      </c>
      <c r="E13" s="1" t="s">
        <v>36</v>
      </c>
      <c r="F13" t="s">
        <v>431</v>
      </c>
    </row>
    <row r="14" spans="1:7" x14ac:dyDescent="0.2">
      <c r="A14" t="s">
        <v>393</v>
      </c>
      <c r="B14" s="63">
        <f>B6/B13</f>
        <v>4.2218072754374475E-2</v>
      </c>
      <c r="C14" t="s">
        <v>89</v>
      </c>
      <c r="D14" s="1" t="s">
        <v>34</v>
      </c>
      <c r="E14" s="1" t="s">
        <v>36</v>
      </c>
      <c r="F14" t="s">
        <v>432</v>
      </c>
    </row>
    <row r="15" spans="1:7" x14ac:dyDescent="0.2">
      <c r="A15" t="s">
        <v>139</v>
      </c>
      <c r="B15" s="49">
        <f>'Deal Fact Sheet'!C47</f>
        <v>1776491.7985799999</v>
      </c>
      <c r="C15" t="s">
        <v>26</v>
      </c>
      <c r="D15" s="1" t="s">
        <v>34</v>
      </c>
      <c r="E15" s="1" t="s">
        <v>36</v>
      </c>
      <c r="F15" t="s">
        <v>433</v>
      </c>
    </row>
    <row r="16" spans="1:7" x14ac:dyDescent="0.2">
      <c r="A16" t="s">
        <v>394</v>
      </c>
      <c r="B16" s="49">
        <f>'Deal Fact Sheet'!C51</f>
        <v>1714750.7385799999</v>
      </c>
      <c r="C16" t="s">
        <v>26</v>
      </c>
      <c r="D16" s="1" t="s">
        <v>453</v>
      </c>
      <c r="E16" s="1" t="s">
        <v>36</v>
      </c>
      <c r="F16" t="s">
        <v>434</v>
      </c>
    </row>
    <row r="17" spans="1:7" x14ac:dyDescent="0.2">
      <c r="A17" t="s">
        <v>395</v>
      </c>
      <c r="B17" s="63" t="s">
        <v>703</v>
      </c>
      <c r="C17" t="s">
        <v>28</v>
      </c>
      <c r="D17" s="1" t="s">
        <v>367</v>
      </c>
      <c r="E17" s="1" t="s">
        <v>36</v>
      </c>
      <c r="F17" t="s">
        <v>435</v>
      </c>
    </row>
    <row r="19" spans="1:7" ht="22" x14ac:dyDescent="0.3">
      <c r="A19" s="91" t="s">
        <v>396</v>
      </c>
      <c r="B19" s="91"/>
      <c r="C19" s="91"/>
      <c r="D19" s="91"/>
      <c r="E19" s="91"/>
      <c r="F19" s="91"/>
      <c r="G19" s="91"/>
    </row>
    <row r="20" spans="1:7" x14ac:dyDescent="0.2">
      <c r="A20" t="s">
        <v>397</v>
      </c>
      <c r="B20" s="63" t="s">
        <v>415</v>
      </c>
      <c r="C20" t="s">
        <v>28</v>
      </c>
      <c r="D20" s="1" t="s">
        <v>367</v>
      </c>
      <c r="E20" s="1" t="s">
        <v>36</v>
      </c>
      <c r="F20" t="s">
        <v>436</v>
      </c>
    </row>
    <row r="21" spans="1:7" x14ac:dyDescent="0.2">
      <c r="A21" t="s">
        <v>398</v>
      </c>
      <c r="B21" s="63" t="s">
        <v>416</v>
      </c>
      <c r="C21" t="s">
        <v>28</v>
      </c>
      <c r="D21" s="1" t="s">
        <v>367</v>
      </c>
      <c r="E21" s="1" t="s">
        <v>36</v>
      </c>
      <c r="F21" t="s">
        <v>437</v>
      </c>
    </row>
    <row r="22" spans="1:7" x14ac:dyDescent="0.2">
      <c r="A22" t="s">
        <v>399</v>
      </c>
      <c r="B22" s="63" t="s">
        <v>421</v>
      </c>
      <c r="C22" t="s">
        <v>454</v>
      </c>
      <c r="D22" s="1" t="s">
        <v>367</v>
      </c>
      <c r="E22" s="1" t="s">
        <v>37</v>
      </c>
      <c r="F22" t="s">
        <v>438</v>
      </c>
    </row>
    <row r="23" spans="1:7" x14ac:dyDescent="0.2">
      <c r="A23" t="s">
        <v>400</v>
      </c>
      <c r="B23" s="63" t="s">
        <v>417</v>
      </c>
      <c r="C23" t="s">
        <v>455</v>
      </c>
      <c r="D23" s="1" t="s">
        <v>367</v>
      </c>
      <c r="E23" s="1" t="s">
        <v>36</v>
      </c>
      <c r="F23" t="s">
        <v>439</v>
      </c>
    </row>
    <row r="24" spans="1:7" x14ac:dyDescent="0.2">
      <c r="A24" t="s">
        <v>401</v>
      </c>
      <c r="B24" s="63" t="s">
        <v>418</v>
      </c>
      <c r="C24" t="s">
        <v>455</v>
      </c>
      <c r="D24" s="1" t="s">
        <v>367</v>
      </c>
      <c r="E24" s="1" t="s">
        <v>36</v>
      </c>
      <c r="F24" t="s">
        <v>440</v>
      </c>
    </row>
    <row r="25" spans="1:7" x14ac:dyDescent="0.2">
      <c r="A25" t="s">
        <v>402</v>
      </c>
      <c r="B25" s="63" t="s">
        <v>422</v>
      </c>
      <c r="C25" t="s">
        <v>456</v>
      </c>
      <c r="D25" s="1" t="s">
        <v>367</v>
      </c>
      <c r="E25" s="1" t="s">
        <v>36</v>
      </c>
      <c r="F25" t="s">
        <v>441</v>
      </c>
    </row>
    <row r="26" spans="1:7" x14ac:dyDescent="0.2">
      <c r="A26" t="s">
        <v>403</v>
      </c>
      <c r="B26" s="63" t="s">
        <v>420</v>
      </c>
      <c r="C26" t="s">
        <v>28</v>
      </c>
      <c r="D26" s="1" t="s">
        <v>367</v>
      </c>
      <c r="E26" s="1" t="s">
        <v>37</v>
      </c>
      <c r="F26" t="s">
        <v>442</v>
      </c>
    </row>
    <row r="27" spans="1:7" x14ac:dyDescent="0.2">
      <c r="A27" t="s">
        <v>404</v>
      </c>
      <c r="B27" s="63" t="s">
        <v>419</v>
      </c>
      <c r="C27" t="s">
        <v>28</v>
      </c>
      <c r="D27" s="1" t="s">
        <v>77</v>
      </c>
      <c r="E27" s="1" t="s">
        <v>62</v>
      </c>
      <c r="F27" t="s">
        <v>443</v>
      </c>
    </row>
    <row r="29" spans="1:7" ht="22" x14ac:dyDescent="0.3">
      <c r="A29" s="106" t="s">
        <v>405</v>
      </c>
      <c r="B29" s="100"/>
      <c r="C29" s="100"/>
      <c r="D29" s="100"/>
      <c r="E29" s="100"/>
      <c r="F29" s="100"/>
      <c r="G29" s="100"/>
    </row>
    <row r="30" spans="1:7" x14ac:dyDescent="0.2">
      <c r="A30" t="s">
        <v>406</v>
      </c>
      <c r="B30" s="63" t="s">
        <v>464</v>
      </c>
      <c r="C30" t="s">
        <v>457</v>
      </c>
      <c r="D30" s="1" t="s">
        <v>458</v>
      </c>
      <c r="E30" s="1" t="s">
        <v>155</v>
      </c>
      <c r="F30" t="s">
        <v>444</v>
      </c>
    </row>
    <row r="31" spans="1:7" x14ac:dyDescent="0.2">
      <c r="A31" t="s">
        <v>407</v>
      </c>
      <c r="B31" s="63" t="s">
        <v>271</v>
      </c>
      <c r="C31" t="s">
        <v>459</v>
      </c>
      <c r="D31" s="1" t="s">
        <v>460</v>
      </c>
      <c r="E31" s="1" t="s">
        <v>62</v>
      </c>
      <c r="F31" t="s">
        <v>445</v>
      </c>
    </row>
    <row r="32" spans="1:7" x14ac:dyDescent="0.2">
      <c r="A32" t="s">
        <v>408</v>
      </c>
      <c r="B32" s="63" t="s">
        <v>271</v>
      </c>
      <c r="C32" t="s">
        <v>28</v>
      </c>
      <c r="D32" s="1" t="s">
        <v>461</v>
      </c>
      <c r="E32" s="1" t="s">
        <v>62</v>
      </c>
      <c r="F32" t="s">
        <v>446</v>
      </c>
    </row>
    <row r="33" spans="1:7" x14ac:dyDescent="0.2">
      <c r="A33" t="s">
        <v>409</v>
      </c>
      <c r="B33" s="63">
        <v>150</v>
      </c>
      <c r="C33" t="s">
        <v>451</v>
      </c>
      <c r="D33" s="1" t="s">
        <v>462</v>
      </c>
      <c r="E33" s="1" t="s">
        <v>36</v>
      </c>
      <c r="F33" t="s">
        <v>447</v>
      </c>
    </row>
    <row r="34" spans="1:7" x14ac:dyDescent="0.2">
      <c r="A34" t="s">
        <v>410</v>
      </c>
      <c r="B34" s="67">
        <f>'Aftermarket Trading '!C5</f>
        <v>160.94999999999999</v>
      </c>
      <c r="C34" t="s">
        <v>451</v>
      </c>
      <c r="D34" s="1" t="s">
        <v>462</v>
      </c>
      <c r="E34" s="1" t="s">
        <v>36</v>
      </c>
      <c r="F34" t="s">
        <v>448</v>
      </c>
    </row>
    <row r="35" spans="1:7" x14ac:dyDescent="0.2">
      <c r="A35" t="s">
        <v>411</v>
      </c>
      <c r="B35" s="63">
        <f>'Aftermarket Trading '!D5</f>
        <v>0.19222222222222207</v>
      </c>
      <c r="C35" t="s">
        <v>89</v>
      </c>
      <c r="D35" s="1" t="s">
        <v>463</v>
      </c>
      <c r="E35" s="1" t="s">
        <v>36</v>
      </c>
      <c r="F35" t="s">
        <v>449</v>
      </c>
    </row>
    <row r="36" spans="1:7" x14ac:dyDescent="0.2">
      <c r="A36" t="s">
        <v>412</v>
      </c>
      <c r="B36" s="49">
        <f>'Deal Fact Sheet'!C58</f>
        <v>14416.678199999995</v>
      </c>
      <c r="C36" t="s">
        <v>26</v>
      </c>
      <c r="D36" s="1" t="s">
        <v>463</v>
      </c>
      <c r="E36" s="1" t="s">
        <v>36</v>
      </c>
      <c r="F36" t="s">
        <v>450</v>
      </c>
    </row>
    <row r="38" spans="1:7" ht="22" x14ac:dyDescent="0.3">
      <c r="A38" s="107" t="s">
        <v>413</v>
      </c>
      <c r="B38" s="107"/>
      <c r="C38" s="107"/>
      <c r="D38" s="107"/>
      <c r="E38" s="107"/>
      <c r="F38" s="107"/>
      <c r="G38" s="107"/>
    </row>
    <row r="39" spans="1:7" ht="205.5" customHeight="1" x14ac:dyDescent="0.2">
      <c r="A39" s="104" t="s">
        <v>414</v>
      </c>
      <c r="B39" s="104"/>
      <c r="C39" s="104"/>
      <c r="D39" s="72"/>
      <c r="E39" s="72"/>
      <c r="F39" s="72"/>
      <c r="G39" s="72"/>
    </row>
    <row r="40" spans="1:7" ht="19" x14ac:dyDescent="0.2">
      <c r="A40" s="104"/>
      <c r="B40" s="104"/>
      <c r="C40" s="104"/>
      <c r="D40" s="72"/>
      <c r="E40" s="72"/>
      <c r="F40" s="72"/>
      <c r="G40" s="72"/>
    </row>
    <row r="41" spans="1:7" ht="19" x14ac:dyDescent="0.2">
      <c r="A41" s="104"/>
      <c r="B41" s="104"/>
      <c r="C41" s="104"/>
      <c r="D41" s="72"/>
      <c r="E41" s="72"/>
      <c r="F41" s="72"/>
      <c r="G41" s="72"/>
    </row>
    <row r="42" spans="1:7" ht="19" x14ac:dyDescent="0.2">
      <c r="A42" s="104"/>
      <c r="B42" s="104"/>
      <c r="C42" s="104"/>
      <c r="D42" s="72"/>
      <c r="E42" s="72"/>
      <c r="F42" s="72"/>
      <c r="G42" s="72"/>
    </row>
    <row r="43" spans="1:7" ht="19" x14ac:dyDescent="0.2">
      <c r="A43" s="104"/>
      <c r="B43" s="104"/>
      <c r="C43" s="104"/>
      <c r="D43" s="72"/>
      <c r="E43" s="72"/>
      <c r="F43" s="72"/>
      <c r="G43" s="72"/>
    </row>
    <row r="44" spans="1:7" ht="19" x14ac:dyDescent="0.2">
      <c r="A44" s="72"/>
      <c r="B44" s="72"/>
      <c r="C44" s="72"/>
      <c r="D44" s="72"/>
    </row>
  </sheetData>
  <mergeCells count="6">
    <mergeCell ref="A39:C43"/>
    <mergeCell ref="A1:G1"/>
    <mergeCell ref="A4:G4"/>
    <mergeCell ref="A19:G19"/>
    <mergeCell ref="A29:G29"/>
    <mergeCell ref="A38:G3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34CDC-02E5-CA43-A643-AC40247A225A}">
  <dimension ref="A1:G36"/>
  <sheetViews>
    <sheetView showGridLines="0" topLeftCell="A10" zoomScaleNormal="150" zoomScaleSheetLayoutView="100" workbookViewId="0">
      <selection activeCell="B26" sqref="B26"/>
    </sheetView>
  </sheetViews>
  <sheetFormatPr baseColWidth="10" defaultColWidth="8.83203125" defaultRowHeight="16" x14ac:dyDescent="0.2"/>
  <cols>
    <col min="1" max="1" width="43.33203125" customWidth="1"/>
    <col min="2" max="2" width="9.33203125" style="1" bestFit="1" customWidth="1"/>
    <col min="3" max="3" width="8.83203125" style="70"/>
    <col min="4" max="4" width="13.6640625" style="1" customWidth="1"/>
    <col min="5" max="5" width="8.83203125" style="1"/>
    <col min="6" max="6" width="130.1640625" customWidth="1"/>
  </cols>
  <sheetData>
    <row r="1" spans="1:7" s="5" customFormat="1" ht="22" x14ac:dyDescent="0.3">
      <c r="A1" s="108" t="s">
        <v>467</v>
      </c>
      <c r="B1" s="109"/>
      <c r="C1" s="109"/>
      <c r="D1" s="109"/>
      <c r="E1" s="109"/>
      <c r="F1" s="109"/>
      <c r="G1" s="109"/>
    </row>
    <row r="3" spans="1:7" s="2" customFormat="1" x14ac:dyDescent="0.2">
      <c r="A3" s="58" t="s">
        <v>1</v>
      </c>
      <c r="B3" s="4" t="s">
        <v>3</v>
      </c>
      <c r="C3" s="69" t="s">
        <v>4</v>
      </c>
      <c r="D3" s="4" t="s">
        <v>5</v>
      </c>
      <c r="E3" s="4" t="s">
        <v>6</v>
      </c>
      <c r="F3" s="58" t="s">
        <v>338</v>
      </c>
    </row>
    <row r="4" spans="1:7" ht="22" x14ac:dyDescent="0.3">
      <c r="A4" s="91" t="s">
        <v>468</v>
      </c>
      <c r="B4" s="91"/>
      <c r="C4" s="91"/>
      <c r="D4" s="91"/>
      <c r="E4" s="91"/>
      <c r="F4" s="91"/>
    </row>
    <row r="5" spans="1:7" x14ac:dyDescent="0.2">
      <c r="A5" t="s">
        <v>469</v>
      </c>
      <c r="B5" s="1">
        <f>'Deal Fact Sheet'!C12</f>
        <v>75000.060000000012</v>
      </c>
      <c r="C5" s="70" t="s">
        <v>26</v>
      </c>
      <c r="D5" s="1" t="s">
        <v>453</v>
      </c>
      <c r="E5" s="1" t="s">
        <v>36</v>
      </c>
      <c r="F5" t="s">
        <v>493</v>
      </c>
    </row>
    <row r="6" spans="1:7" x14ac:dyDescent="0.2">
      <c r="A6" t="s">
        <v>470</v>
      </c>
      <c r="B6" s="1">
        <f>'Deal Structure'!B9</f>
        <v>86249.610000000015</v>
      </c>
      <c r="C6" s="70" t="s">
        <v>26</v>
      </c>
      <c r="D6" s="1" t="s">
        <v>453</v>
      </c>
      <c r="E6" s="1" t="s">
        <v>37</v>
      </c>
      <c r="F6" t="s">
        <v>494</v>
      </c>
    </row>
    <row r="7" spans="1:7" x14ac:dyDescent="0.2">
      <c r="A7" t="s">
        <v>471</v>
      </c>
      <c r="B7" s="1">
        <f>0.9*'Deal Fact Sheet'!C11</f>
        <v>500.00040000000007</v>
      </c>
      <c r="C7" s="70" t="s">
        <v>26</v>
      </c>
      <c r="D7" s="1" t="s">
        <v>367</v>
      </c>
      <c r="E7" s="1" t="s">
        <v>62</v>
      </c>
      <c r="F7" t="s">
        <v>495</v>
      </c>
    </row>
    <row r="8" spans="1:7" x14ac:dyDescent="0.2">
      <c r="A8" t="s">
        <v>472</v>
      </c>
      <c r="B8" s="1" t="s">
        <v>271</v>
      </c>
      <c r="C8" s="70" t="s">
        <v>26</v>
      </c>
      <c r="D8" s="1" t="s">
        <v>367</v>
      </c>
      <c r="E8" s="1" t="s">
        <v>62</v>
      </c>
      <c r="F8" t="s">
        <v>496</v>
      </c>
    </row>
    <row r="9" spans="1:7" x14ac:dyDescent="0.2">
      <c r="A9" t="s">
        <v>473</v>
      </c>
      <c r="B9" s="1">
        <f>B5-B7</f>
        <v>74500.059600000008</v>
      </c>
      <c r="C9" s="70" t="s">
        <v>26</v>
      </c>
      <c r="D9" s="1" t="s">
        <v>34</v>
      </c>
      <c r="E9" s="1" t="s">
        <v>62</v>
      </c>
      <c r="F9" t="s">
        <v>497</v>
      </c>
    </row>
    <row r="10" spans="1:7" x14ac:dyDescent="0.2">
      <c r="A10" t="s">
        <v>474</v>
      </c>
      <c r="B10" s="1">
        <f>IF('Deal Structure'!B10="N/D","N/D",'Deal Structure'!B10*'Deal Structure'!B5)</f>
        <v>75000.060000000012</v>
      </c>
      <c r="C10" s="70" t="s">
        <v>26</v>
      </c>
      <c r="D10" s="1" t="s">
        <v>453</v>
      </c>
      <c r="E10" s="1" t="s">
        <v>36</v>
      </c>
      <c r="F10" t="s">
        <v>498</v>
      </c>
    </row>
    <row r="11" spans="1:7" x14ac:dyDescent="0.2">
      <c r="A11" t="s">
        <v>475</v>
      </c>
      <c r="B11" s="1">
        <f>IF('Deal Structure'!B11="N/D","N/D",'Deal Structure'!B11*'Deal Structure'!B5)</f>
        <v>0</v>
      </c>
      <c r="C11" s="70" t="s">
        <v>26</v>
      </c>
      <c r="D11" s="1" t="s">
        <v>453</v>
      </c>
      <c r="E11" s="1" t="s">
        <v>36</v>
      </c>
      <c r="F11" t="s">
        <v>499</v>
      </c>
    </row>
    <row r="13" spans="1:7" ht="22" x14ac:dyDescent="0.3">
      <c r="A13" s="107" t="s">
        <v>476</v>
      </c>
      <c r="B13" s="107"/>
      <c r="C13" s="107"/>
      <c r="D13" s="107"/>
      <c r="E13" s="107"/>
      <c r="F13" s="107"/>
    </row>
    <row r="14" spans="1:7" x14ac:dyDescent="0.2">
      <c r="A14" t="s">
        <v>477</v>
      </c>
      <c r="B14" s="1" t="s">
        <v>271</v>
      </c>
      <c r="C14" s="70" t="s">
        <v>28</v>
      </c>
      <c r="D14" s="1" t="s">
        <v>367</v>
      </c>
      <c r="E14" s="1" t="s">
        <v>62</v>
      </c>
      <c r="F14" t="s">
        <v>500</v>
      </c>
    </row>
    <row r="15" spans="1:7" x14ac:dyDescent="0.2">
      <c r="A15" t="s">
        <v>478</v>
      </c>
      <c r="B15" s="1" t="s">
        <v>271</v>
      </c>
      <c r="C15" s="70" t="s">
        <v>28</v>
      </c>
      <c r="D15" s="1" t="s">
        <v>367</v>
      </c>
      <c r="E15" s="1" t="s">
        <v>62</v>
      </c>
      <c r="F15" t="s">
        <v>501</v>
      </c>
    </row>
    <row r="16" spans="1:7" x14ac:dyDescent="0.2">
      <c r="A16" t="s">
        <v>479</v>
      </c>
      <c r="B16" s="1" t="s">
        <v>271</v>
      </c>
      <c r="C16" s="70" t="s">
        <v>28</v>
      </c>
      <c r="D16" s="1" t="s">
        <v>367</v>
      </c>
      <c r="E16" s="1" t="s">
        <v>62</v>
      </c>
      <c r="F16" t="s">
        <v>502</v>
      </c>
    </row>
    <row r="17" spans="1:6" x14ac:dyDescent="0.2">
      <c r="A17" t="s">
        <v>480</v>
      </c>
      <c r="B17" s="1" t="s">
        <v>271</v>
      </c>
      <c r="C17" s="70" t="s">
        <v>28</v>
      </c>
      <c r="D17" s="1" t="s">
        <v>367</v>
      </c>
      <c r="E17" s="1" t="s">
        <v>62</v>
      </c>
      <c r="F17" t="s">
        <v>503</v>
      </c>
    </row>
    <row r="18" spans="1:6" x14ac:dyDescent="0.2">
      <c r="A18" t="s">
        <v>481</v>
      </c>
      <c r="B18" s="1" t="s">
        <v>271</v>
      </c>
      <c r="C18" s="70" t="s">
        <v>28</v>
      </c>
      <c r="D18" s="1" t="s">
        <v>367</v>
      </c>
      <c r="E18" s="1" t="s">
        <v>62</v>
      </c>
      <c r="F18" t="s">
        <v>504</v>
      </c>
    </row>
    <row r="19" spans="1:6" x14ac:dyDescent="0.2">
      <c r="A19" t="s">
        <v>482</v>
      </c>
      <c r="B19" s="1" t="s">
        <v>271</v>
      </c>
      <c r="C19" s="70" t="s">
        <v>28</v>
      </c>
      <c r="D19" s="1" t="s">
        <v>367</v>
      </c>
      <c r="E19" s="1" t="s">
        <v>62</v>
      </c>
      <c r="F19" t="s">
        <v>505</v>
      </c>
    </row>
    <row r="20" spans="1:6" x14ac:dyDescent="0.2">
      <c r="A20" t="s">
        <v>483</v>
      </c>
      <c r="B20" s="1" t="s">
        <v>271</v>
      </c>
      <c r="C20" s="70" t="s">
        <v>28</v>
      </c>
      <c r="D20" s="1" t="s">
        <v>367</v>
      </c>
      <c r="E20" s="1" t="s">
        <v>62</v>
      </c>
      <c r="F20" t="s">
        <v>506</v>
      </c>
    </row>
    <row r="21" spans="1:6" x14ac:dyDescent="0.2">
      <c r="A21" t="s">
        <v>484</v>
      </c>
      <c r="B21" s="1" t="s">
        <v>271</v>
      </c>
      <c r="C21" s="70" t="s">
        <v>28</v>
      </c>
      <c r="D21" s="1" t="s">
        <v>367</v>
      </c>
      <c r="E21" s="1" t="s">
        <v>62</v>
      </c>
      <c r="F21" t="s">
        <v>507</v>
      </c>
    </row>
    <row r="23" spans="1:6" ht="22" x14ac:dyDescent="0.3">
      <c r="A23" s="8" t="s">
        <v>485</v>
      </c>
    </row>
    <row r="24" spans="1:6" x14ac:dyDescent="0.2">
      <c r="A24" t="s">
        <v>486</v>
      </c>
      <c r="B24" s="1">
        <f>'Deal Fact Sheet'!C31</f>
        <v>20737</v>
      </c>
      <c r="C24" s="70" t="s">
        <v>26</v>
      </c>
      <c r="D24" s="1" t="s">
        <v>367</v>
      </c>
      <c r="E24" s="1" t="s">
        <v>36</v>
      </c>
      <c r="F24" t="s">
        <v>508</v>
      </c>
    </row>
    <row r="25" spans="1:6" x14ac:dyDescent="0.2">
      <c r="A25" t="s">
        <v>702</v>
      </c>
      <c r="B25" s="1">
        <f>'Deal Fact Sheet'!C25</f>
        <v>18674</v>
      </c>
      <c r="C25" s="70" t="s">
        <v>26</v>
      </c>
      <c r="D25" s="1" t="s">
        <v>367</v>
      </c>
      <c r="E25" s="1" t="s">
        <v>36</v>
      </c>
      <c r="F25" t="s">
        <v>509</v>
      </c>
    </row>
    <row r="26" spans="1:6" x14ac:dyDescent="0.2">
      <c r="A26" t="s">
        <v>487</v>
      </c>
      <c r="B26" s="7">
        <f>B24/B25</f>
        <v>1.1104744564635323</v>
      </c>
      <c r="C26" s="70" t="s">
        <v>89</v>
      </c>
      <c r="D26" s="1" t="s">
        <v>34</v>
      </c>
      <c r="E26" s="1" t="s">
        <v>36</v>
      </c>
      <c r="F26" t="s">
        <v>510</v>
      </c>
    </row>
    <row r="27" spans="1:6" x14ac:dyDescent="0.2">
      <c r="A27" t="s">
        <v>488</v>
      </c>
      <c r="B27" s="7">
        <f>B5/B24</f>
        <v>3.6167266239089555</v>
      </c>
      <c r="C27" s="70" t="s">
        <v>457</v>
      </c>
      <c r="D27" s="1" t="s">
        <v>34</v>
      </c>
      <c r="E27" s="1" t="s">
        <v>36</v>
      </c>
      <c r="F27" t="s">
        <v>511</v>
      </c>
    </row>
    <row r="28" spans="1:6" x14ac:dyDescent="0.2">
      <c r="A28" t="s">
        <v>489</v>
      </c>
      <c r="B28" s="7">
        <f>B5/B25</f>
        <v>4.0162825318624833</v>
      </c>
      <c r="C28" s="70" t="s">
        <v>457</v>
      </c>
      <c r="D28" s="1" t="s">
        <v>34</v>
      </c>
      <c r="E28" s="1" t="s">
        <v>36</v>
      </c>
      <c r="F28" t="s">
        <v>512</v>
      </c>
    </row>
    <row r="29" spans="1:6" x14ac:dyDescent="0.2">
      <c r="A29" t="s">
        <v>490</v>
      </c>
      <c r="B29" s="7">
        <f>'Deal Fact Sheet'!C49</f>
        <v>90852.060000000012</v>
      </c>
      <c r="C29" s="70" t="s">
        <v>26</v>
      </c>
      <c r="D29" s="1" t="s">
        <v>453</v>
      </c>
      <c r="E29" s="1" t="s">
        <v>36</v>
      </c>
      <c r="F29" t="s">
        <v>513</v>
      </c>
    </row>
    <row r="30" spans="1:6" x14ac:dyDescent="0.2">
      <c r="A30" t="s">
        <v>491</v>
      </c>
      <c r="B30" s="7">
        <f>'Deal Fact Sheet'!C50-B29</f>
        <v>-61741.060000000012</v>
      </c>
      <c r="C30" s="70" t="s">
        <v>26</v>
      </c>
      <c r="D30" s="1" t="s">
        <v>453</v>
      </c>
      <c r="E30" s="1" t="s">
        <v>36</v>
      </c>
      <c r="F30" t="s">
        <v>514</v>
      </c>
    </row>
    <row r="32" spans="1:6" ht="22" x14ac:dyDescent="0.3">
      <c r="A32" s="91" t="s">
        <v>492</v>
      </c>
      <c r="B32" s="91"/>
      <c r="C32" s="91"/>
    </row>
    <row r="33" spans="1:6" ht="132.75" customHeight="1" x14ac:dyDescent="0.2">
      <c r="A33" s="98" t="s">
        <v>515</v>
      </c>
      <c r="B33" s="98"/>
      <c r="C33" s="98"/>
      <c r="D33" s="98"/>
      <c r="E33" s="98"/>
      <c r="F33" s="98"/>
    </row>
    <row r="34" spans="1:6" x14ac:dyDescent="0.2">
      <c r="A34" s="98"/>
      <c r="B34" s="98"/>
      <c r="C34" s="98"/>
      <c r="D34" s="98"/>
      <c r="E34" s="98"/>
      <c r="F34" s="98"/>
    </row>
    <row r="35" spans="1:6" x14ac:dyDescent="0.2">
      <c r="A35" s="98"/>
      <c r="B35" s="98"/>
      <c r="C35" s="98"/>
      <c r="D35" s="98"/>
      <c r="E35" s="98"/>
      <c r="F35" s="98"/>
    </row>
    <row r="36" spans="1:6" x14ac:dyDescent="0.2">
      <c r="A36" s="64"/>
      <c r="B36" s="64"/>
      <c r="C36" s="64"/>
      <c r="D36" s="64"/>
      <c r="E36" s="64"/>
      <c r="F36" s="64"/>
    </row>
  </sheetData>
  <mergeCells count="5">
    <mergeCell ref="A1:G1"/>
    <mergeCell ref="A4:F4"/>
    <mergeCell ref="A13:F13"/>
    <mergeCell ref="A32:C32"/>
    <mergeCell ref="A33:F3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6E80-495B-1C45-8C8E-8006460BDD2D}">
  <dimension ref="A1:J32"/>
  <sheetViews>
    <sheetView showGridLines="0" zoomScale="96" zoomScaleNormal="96" zoomScaleSheetLayoutView="100" workbookViewId="0">
      <pane ySplit="3" topLeftCell="A4" activePane="bottomLeft" state="frozen"/>
      <selection pane="bottomLeft" activeCell="F26" sqref="F26"/>
    </sheetView>
  </sheetViews>
  <sheetFormatPr baseColWidth="10" defaultColWidth="8.83203125" defaultRowHeight="16" x14ac:dyDescent="0.2"/>
  <cols>
    <col min="1" max="1" width="40.33203125" customWidth="1"/>
    <col min="2" max="2" width="66" customWidth="1"/>
    <col min="3" max="3" width="40.6640625" style="78" customWidth="1"/>
    <col min="4" max="4" width="26.33203125" style="78" customWidth="1"/>
    <col min="5" max="5" width="7.6640625" bestFit="1" customWidth="1"/>
    <col min="6" max="6" width="18" bestFit="1" customWidth="1"/>
    <col min="7" max="7" width="38.83203125" style="78" customWidth="1"/>
    <col min="8" max="8" width="32.83203125" style="1" customWidth="1"/>
    <col min="9" max="9" width="10.6640625" bestFit="1" customWidth="1"/>
    <col min="10" max="10" width="48.83203125" style="78" customWidth="1"/>
  </cols>
  <sheetData>
    <row r="1" spans="1:10" s="5" customFormat="1" ht="22" customHeight="1" x14ac:dyDescent="0.3">
      <c r="A1" s="105" t="s">
        <v>524</v>
      </c>
      <c r="B1" s="105"/>
      <c r="C1" s="105"/>
      <c r="D1" s="105"/>
      <c r="E1" s="105"/>
      <c r="F1" s="105"/>
      <c r="G1" s="105"/>
      <c r="H1" s="105"/>
      <c r="I1" s="73"/>
      <c r="J1" s="76"/>
    </row>
    <row r="2" spans="1:10" ht="16" customHeight="1" x14ac:dyDescent="0.2"/>
    <row r="3" spans="1:10" s="1" customFormat="1" ht="16" customHeight="1" x14ac:dyDescent="0.2">
      <c r="A3" s="79" t="s">
        <v>516</v>
      </c>
      <c r="B3" s="79" t="s">
        <v>517</v>
      </c>
      <c r="C3" s="80" t="s">
        <v>525</v>
      </c>
      <c r="D3" s="80" t="s">
        <v>526</v>
      </c>
      <c r="E3" s="79" t="s">
        <v>518</v>
      </c>
      <c r="F3" s="79" t="s">
        <v>527</v>
      </c>
      <c r="G3" s="80" t="s">
        <v>528</v>
      </c>
      <c r="H3" s="79" t="s">
        <v>5</v>
      </c>
      <c r="I3" s="79" t="s">
        <v>6</v>
      </c>
      <c r="J3" s="80" t="s">
        <v>7</v>
      </c>
    </row>
    <row r="4" spans="1:10" ht="22" customHeight="1" x14ac:dyDescent="0.2">
      <c r="A4" s="110" t="s">
        <v>529</v>
      </c>
      <c r="B4" s="110"/>
      <c r="C4" s="110"/>
      <c r="D4" s="110"/>
      <c r="E4" s="79"/>
      <c r="F4" s="79"/>
      <c r="G4" s="80"/>
      <c r="H4" s="79"/>
      <c r="I4" s="79"/>
      <c r="J4" s="80"/>
    </row>
    <row r="5" spans="1:10" ht="60" customHeight="1" x14ac:dyDescent="0.2">
      <c r="A5" s="70" t="s">
        <v>532</v>
      </c>
      <c r="B5" s="70" t="s">
        <v>533</v>
      </c>
      <c r="C5" s="81" t="s">
        <v>534</v>
      </c>
      <c r="D5" s="81" t="s">
        <v>535</v>
      </c>
      <c r="E5" s="70" t="s">
        <v>36</v>
      </c>
      <c r="F5" s="70" t="s">
        <v>536</v>
      </c>
      <c r="G5" s="81" t="s">
        <v>537</v>
      </c>
      <c r="H5" s="70" t="s">
        <v>538</v>
      </c>
      <c r="I5" s="70" t="s">
        <v>62</v>
      </c>
      <c r="J5" s="81" t="s">
        <v>625</v>
      </c>
    </row>
    <row r="6" spans="1:10" ht="60" customHeight="1" x14ac:dyDescent="0.2">
      <c r="A6" s="70" t="s">
        <v>519</v>
      </c>
      <c r="B6" s="70" t="s">
        <v>539</v>
      </c>
      <c r="C6" s="81" t="s">
        <v>540</v>
      </c>
      <c r="D6" s="81" t="s">
        <v>541</v>
      </c>
      <c r="E6" s="70" t="s">
        <v>36</v>
      </c>
      <c r="F6" s="70" t="s">
        <v>536</v>
      </c>
      <c r="G6" s="81" t="s">
        <v>626</v>
      </c>
      <c r="H6" s="70" t="s">
        <v>538</v>
      </c>
      <c r="I6" s="70" t="s">
        <v>36</v>
      </c>
      <c r="J6" s="81" t="s">
        <v>542</v>
      </c>
    </row>
    <row r="7" spans="1:10" ht="60" customHeight="1" x14ac:dyDescent="0.2">
      <c r="A7" s="70" t="s">
        <v>543</v>
      </c>
      <c r="B7" s="70" t="s">
        <v>544</v>
      </c>
      <c r="C7" s="81" t="s">
        <v>545</v>
      </c>
      <c r="D7" s="81" t="s">
        <v>546</v>
      </c>
      <c r="E7" s="70" t="s">
        <v>36</v>
      </c>
      <c r="F7" s="70" t="s">
        <v>536</v>
      </c>
      <c r="G7" s="81" t="s">
        <v>547</v>
      </c>
      <c r="H7" s="70" t="s">
        <v>538</v>
      </c>
      <c r="I7" s="70" t="s">
        <v>62</v>
      </c>
      <c r="J7" s="81" t="s">
        <v>548</v>
      </c>
    </row>
    <row r="8" spans="1:10" ht="60" customHeight="1" x14ac:dyDescent="0.2">
      <c r="A8" s="70" t="s">
        <v>549</v>
      </c>
      <c r="B8" s="70" t="s">
        <v>635</v>
      </c>
      <c r="C8" s="81" t="s">
        <v>550</v>
      </c>
      <c r="D8" s="81" t="s">
        <v>551</v>
      </c>
      <c r="E8" s="70" t="s">
        <v>36</v>
      </c>
      <c r="F8" s="70" t="s">
        <v>552</v>
      </c>
      <c r="G8" s="81" t="s">
        <v>553</v>
      </c>
      <c r="H8" s="70" t="s">
        <v>538</v>
      </c>
      <c r="I8" s="70" t="s">
        <v>62</v>
      </c>
      <c r="J8" s="81" t="s">
        <v>554</v>
      </c>
    </row>
    <row r="9" spans="1:10" ht="60" customHeight="1" x14ac:dyDescent="0.2">
      <c r="A9" s="70" t="s">
        <v>555</v>
      </c>
      <c r="B9" s="70" t="s">
        <v>556</v>
      </c>
      <c r="C9" s="81" t="s">
        <v>557</v>
      </c>
      <c r="D9" s="81" t="s">
        <v>558</v>
      </c>
      <c r="E9" s="70" t="s">
        <v>36</v>
      </c>
      <c r="F9" s="70" t="s">
        <v>536</v>
      </c>
      <c r="G9" s="81" t="s">
        <v>559</v>
      </c>
      <c r="H9" s="70" t="s">
        <v>538</v>
      </c>
      <c r="I9" s="70" t="s">
        <v>62</v>
      </c>
      <c r="J9" s="81" t="s">
        <v>560</v>
      </c>
    </row>
    <row r="10" spans="1:10" ht="60" customHeight="1" x14ac:dyDescent="0.2">
      <c r="A10" s="70" t="s">
        <v>561</v>
      </c>
      <c r="B10" s="70" t="s">
        <v>562</v>
      </c>
      <c r="C10" s="81" t="s">
        <v>627</v>
      </c>
      <c r="D10" s="81" t="s">
        <v>563</v>
      </c>
      <c r="E10" s="70" t="s">
        <v>62</v>
      </c>
      <c r="F10" s="70" t="s">
        <v>536</v>
      </c>
      <c r="G10" s="81" t="s">
        <v>564</v>
      </c>
      <c r="H10" s="70" t="s">
        <v>538</v>
      </c>
      <c r="I10" s="70" t="s">
        <v>36</v>
      </c>
      <c r="J10" s="81" t="s">
        <v>565</v>
      </c>
    </row>
    <row r="11" spans="1:10" ht="60" customHeight="1" x14ac:dyDescent="0.2">
      <c r="A11" s="70" t="s">
        <v>566</v>
      </c>
      <c r="B11" s="70" t="s">
        <v>567</v>
      </c>
      <c r="C11" s="81" t="s">
        <v>568</v>
      </c>
      <c r="D11" s="81" t="str">
        <f>"FY2025 capex: $"&amp;TEXT('Use Of Proceeds '!B24,"#,##0")&amp;"mm; capex/revenue: "&amp;TEXT('Use Of Proceeds '!B26,"0.0%")</f>
        <v>FY2025 capex: $20,737mm; capex/revenue: 111.0%</v>
      </c>
      <c r="E11" s="70" t="s">
        <v>36</v>
      </c>
      <c r="F11" s="70" t="s">
        <v>536</v>
      </c>
      <c r="G11" s="81" t="s">
        <v>569</v>
      </c>
      <c r="H11" s="70" t="s">
        <v>570</v>
      </c>
      <c r="I11" s="70" t="s">
        <v>36</v>
      </c>
      <c r="J11" s="81" t="s">
        <v>571</v>
      </c>
    </row>
    <row r="12" spans="1:10" ht="60" customHeight="1" x14ac:dyDescent="0.2">
      <c r="A12" s="70" t="s">
        <v>572</v>
      </c>
      <c r="B12" s="70" t="s">
        <v>573</v>
      </c>
      <c r="C12" s="81" t="s">
        <v>574</v>
      </c>
      <c r="D12" s="81" t="str">
        <f>"Loss from operations: $"&amp;TEXT('Deal Fact Sheet'!C30,"#,##0")&amp;"mm; Adj. EBITDA: $"&amp;TEXT('Deal Fact Sheet'!C29,"#,##0")&amp;"mm"</f>
        <v>Loss from operations: $-2,589mm; Adj. EBITDA: $6,584mm</v>
      </c>
      <c r="E12" s="70" t="s">
        <v>36</v>
      </c>
      <c r="F12" s="70" t="s">
        <v>536</v>
      </c>
      <c r="G12" s="81" t="s">
        <v>575</v>
      </c>
      <c r="H12" s="70" t="s">
        <v>576</v>
      </c>
      <c r="I12" s="70" t="s">
        <v>62</v>
      </c>
      <c r="J12" s="81" t="s">
        <v>577</v>
      </c>
    </row>
    <row r="13" spans="1:10" ht="60" customHeight="1" x14ac:dyDescent="0.2">
      <c r="A13" s="70" t="s">
        <v>578</v>
      </c>
      <c r="B13" s="70" t="s">
        <v>579</v>
      </c>
      <c r="C13" s="81" t="s">
        <v>580</v>
      </c>
      <c r="D13" s="81" t="s">
        <v>581</v>
      </c>
      <c r="E13" s="70" t="s">
        <v>62</v>
      </c>
      <c r="F13" s="70" t="s">
        <v>552</v>
      </c>
      <c r="G13" s="81" t="s">
        <v>582</v>
      </c>
      <c r="H13" s="70" t="s">
        <v>538</v>
      </c>
      <c r="I13" s="70" t="s">
        <v>62</v>
      </c>
      <c r="J13" s="81" t="s">
        <v>628</v>
      </c>
    </row>
    <row r="14" spans="1:10" ht="60" customHeight="1" x14ac:dyDescent="0.2">
      <c r="A14" s="70" t="s">
        <v>583</v>
      </c>
      <c r="B14" s="70" t="s">
        <v>584</v>
      </c>
      <c r="C14" s="81" t="s">
        <v>585</v>
      </c>
      <c r="D14" s="81" t="s">
        <v>586</v>
      </c>
      <c r="E14" s="70" t="s">
        <v>36</v>
      </c>
      <c r="F14" s="70" t="s">
        <v>536</v>
      </c>
      <c r="G14" s="81" t="s">
        <v>587</v>
      </c>
      <c r="H14" s="70" t="s">
        <v>538</v>
      </c>
      <c r="I14" s="70" t="s">
        <v>36</v>
      </c>
      <c r="J14" s="81" t="s">
        <v>588</v>
      </c>
    </row>
    <row r="15" spans="1:10" ht="60" customHeight="1" x14ac:dyDescent="0.2">
      <c r="A15" s="70" t="s">
        <v>520</v>
      </c>
      <c r="B15" s="70" t="s">
        <v>589</v>
      </c>
      <c r="C15" s="81" t="s">
        <v>590</v>
      </c>
      <c r="D15" s="81" t="str">
        <f>"Voting control: "&amp;'Deal Structure'!B22&amp;"; "&amp;'Deal Structure'!B23</f>
        <v>Voting control: 82.3% voting power if overallotment exercised in full; Class B: 10 votes per share; Class A: 1 vote per share</v>
      </c>
      <c r="E15" s="70" t="s">
        <v>36</v>
      </c>
      <c r="F15" s="70" t="s">
        <v>591</v>
      </c>
      <c r="G15" s="81" t="s">
        <v>592</v>
      </c>
      <c r="H15" s="70" t="s">
        <v>576</v>
      </c>
      <c r="I15" s="70" t="s">
        <v>36</v>
      </c>
      <c r="J15" s="81" t="s">
        <v>593</v>
      </c>
    </row>
    <row r="16" spans="1:10" ht="60" customHeight="1" x14ac:dyDescent="0.2">
      <c r="A16" s="70" t="s">
        <v>594</v>
      </c>
      <c r="B16" s="70" t="s">
        <v>595</v>
      </c>
      <c r="C16" s="81" t="s">
        <v>596</v>
      </c>
      <c r="D16" s="81" t="s">
        <v>597</v>
      </c>
      <c r="E16" s="70" t="s">
        <v>62</v>
      </c>
      <c r="F16" s="70" t="s">
        <v>536</v>
      </c>
      <c r="G16" s="81" t="s">
        <v>629</v>
      </c>
      <c r="H16" s="70" t="s">
        <v>538</v>
      </c>
      <c r="I16" s="70" t="s">
        <v>62</v>
      </c>
      <c r="J16" s="81" t="s">
        <v>598</v>
      </c>
    </row>
    <row r="17" spans="1:10" ht="60" customHeight="1" x14ac:dyDescent="0.2">
      <c r="A17" s="70" t="s">
        <v>521</v>
      </c>
      <c r="B17" s="70" t="s">
        <v>599</v>
      </c>
      <c r="C17" s="81" t="s">
        <v>600</v>
      </c>
      <c r="D17" s="81" t="s">
        <v>601</v>
      </c>
      <c r="E17" s="70" t="s">
        <v>62</v>
      </c>
      <c r="F17" s="70" t="s">
        <v>536</v>
      </c>
      <c r="G17" s="81" t="s">
        <v>602</v>
      </c>
      <c r="H17" s="70" t="s">
        <v>538</v>
      </c>
      <c r="I17" s="70" t="s">
        <v>62</v>
      </c>
      <c r="J17" s="81" t="s">
        <v>603</v>
      </c>
    </row>
    <row r="18" spans="1:10" ht="16" customHeight="1" x14ac:dyDescent="0.2"/>
    <row r="19" spans="1:10" ht="22" customHeight="1" x14ac:dyDescent="0.3">
      <c r="A19" s="107" t="s">
        <v>530</v>
      </c>
      <c r="B19" s="107"/>
      <c r="C19" s="107"/>
      <c r="D19" s="83"/>
      <c r="E19" s="82"/>
      <c r="F19" s="82"/>
      <c r="G19" s="83"/>
      <c r="H19" s="82"/>
      <c r="I19" s="82"/>
      <c r="J19" s="83"/>
    </row>
    <row r="20" spans="1:10" ht="60" customHeight="1" x14ac:dyDescent="0.2">
      <c r="A20" s="1" t="s">
        <v>522</v>
      </c>
      <c r="B20" s="1" t="s">
        <v>604</v>
      </c>
      <c r="C20" s="77" t="s">
        <v>605</v>
      </c>
      <c r="D20" s="77" t="str">
        <f>"Day-1 close: $"&amp;TEXT('Aftermarket Trading '!C5,"0.00")&amp;"; Day-1 pop: "&amp;TEXT('Aftermarket Trading '!D5,"0.0%")</f>
        <v>Day-1 close: $160.95; Day-1 pop: 19.2%</v>
      </c>
      <c r="E20" s="1" t="s">
        <v>62</v>
      </c>
      <c r="F20" s="1" t="s">
        <v>591</v>
      </c>
      <c r="G20" s="77" t="s">
        <v>606</v>
      </c>
      <c r="H20" s="1" t="s">
        <v>607</v>
      </c>
      <c r="I20" s="1" t="s">
        <v>36</v>
      </c>
      <c r="J20" s="77" t="s">
        <v>608</v>
      </c>
    </row>
    <row r="21" spans="1:10" ht="60" customHeight="1" x14ac:dyDescent="0.2">
      <c r="A21" s="1" t="s">
        <v>522</v>
      </c>
      <c r="B21" s="1" t="s">
        <v>609</v>
      </c>
      <c r="C21" s="77" t="s">
        <v>610</v>
      </c>
      <c r="D21" s="77" t="str">
        <f>"IPO equity value: $"&amp;TEXT('Valuation Summary'!C4/1000,"#,##0.0")&amp;"bn; SOTP base vs IPO: "&amp;TEXT('Valuation Summary'!E6,"0.0%")</f>
        <v>IPO equity value: $1,776.5bn; SOTP base vs IPO: -89.2%</v>
      </c>
      <c r="E21" s="1" t="s">
        <v>36</v>
      </c>
      <c r="F21" s="1" t="s">
        <v>552</v>
      </c>
      <c r="G21" s="77" t="s">
        <v>611</v>
      </c>
      <c r="H21" s="1" t="s">
        <v>612</v>
      </c>
      <c r="I21" s="1" t="s">
        <v>62</v>
      </c>
      <c r="J21" s="77" t="s">
        <v>630</v>
      </c>
    </row>
    <row r="22" spans="1:10" ht="60" customHeight="1" x14ac:dyDescent="0.2">
      <c r="A22" s="1" t="s">
        <v>523</v>
      </c>
      <c r="B22" s="1" t="s">
        <v>613</v>
      </c>
      <c r="C22" s="77" t="s">
        <v>631</v>
      </c>
      <c r="D22" s="77" t="str">
        <f>"IPO EV/revenue: "&amp;TEXT('Deal Fact Sheet'!C52,"0.0x")&amp;"; SOTP base equity value: $"&amp;TEXT('Segment SOTP'!I13/1000,"#,##0.0")&amp;"bn"</f>
        <v>IPO EV/revenue: 91.8x; SOTP base equity value: $192.2bn</v>
      </c>
      <c r="E22" s="1" t="s">
        <v>36</v>
      </c>
      <c r="F22" s="1" t="s">
        <v>536</v>
      </c>
      <c r="G22" s="77" t="s">
        <v>632</v>
      </c>
      <c r="H22" s="1" t="s">
        <v>612</v>
      </c>
      <c r="I22" s="1" t="s">
        <v>62</v>
      </c>
      <c r="J22" s="77" t="s">
        <v>614</v>
      </c>
    </row>
    <row r="23" spans="1:10" ht="60" customHeight="1" x14ac:dyDescent="0.2">
      <c r="A23" s="1" t="s">
        <v>615</v>
      </c>
      <c r="B23" s="1" t="s">
        <v>616</v>
      </c>
      <c r="C23" s="77" t="s">
        <v>617</v>
      </c>
      <c r="D23" s="77" t="str">
        <f>"Free float: "&amp;TEXT('Deal Structure'!B14,"0.0%")&amp;"; voting control: "&amp;'Deal Structure'!B22&amp;"; lock-up: "&amp;'Deal Structure'!B25</f>
        <v>Free float: 4.2%; voting control: 82.3% voting power if overallotment exercised in full; lock-up: 366 days</v>
      </c>
      <c r="E23" s="1" t="s">
        <v>62</v>
      </c>
      <c r="F23" s="1" t="s">
        <v>591</v>
      </c>
      <c r="G23" s="77" t="s">
        <v>618</v>
      </c>
      <c r="H23" s="1" t="s">
        <v>576</v>
      </c>
      <c r="I23" s="1" t="s">
        <v>36</v>
      </c>
      <c r="J23" s="77" t="s">
        <v>619</v>
      </c>
    </row>
    <row r="24" spans="1:10" ht="60" customHeight="1" x14ac:dyDescent="0.2">
      <c r="A24" s="1" t="s">
        <v>620</v>
      </c>
      <c r="B24" s="1" t="s">
        <v>621</v>
      </c>
      <c r="C24" s="77" t="s">
        <v>622</v>
      </c>
      <c r="D24" s="77" t="str">
        <f>"Day-1 pop: "&amp;TEXT('Aftermarket Trading '!D5,"0.0%")&amp;"; oversubscription: "&amp;'Deal Structure'!B30&amp;"; IPO equity value: $"&amp;TEXT('Valuation Summary'!C4/1000,"#,##0.0")&amp;"bn"</f>
        <v>Day-1 pop: 19.2%; oversubscription: 4x; IPO equity value: $1,776.5bn</v>
      </c>
      <c r="E24" s="1" t="s">
        <v>62</v>
      </c>
      <c r="F24" s="1" t="s">
        <v>591</v>
      </c>
      <c r="G24" s="77" t="s">
        <v>623</v>
      </c>
      <c r="H24" s="1" t="s">
        <v>624</v>
      </c>
      <c r="I24" s="1" t="s">
        <v>62</v>
      </c>
      <c r="J24" s="77" t="s">
        <v>633</v>
      </c>
    </row>
    <row r="25" spans="1:10" ht="17" customHeight="1" x14ac:dyDescent="0.2"/>
    <row r="26" spans="1:10" ht="22" customHeight="1" x14ac:dyDescent="0.3">
      <c r="A26" s="84" t="s">
        <v>531</v>
      </c>
      <c r="B26" s="74"/>
      <c r="C26" s="75"/>
      <c r="D26" s="75"/>
      <c r="E26" s="74"/>
      <c r="F26" s="74"/>
      <c r="G26" s="75"/>
      <c r="H26" s="82"/>
      <c r="I26" s="74"/>
      <c r="J26" s="75"/>
    </row>
    <row r="27" spans="1:10" ht="60" customHeight="1" x14ac:dyDescent="0.2">
      <c r="A27" s="98" t="s">
        <v>634</v>
      </c>
      <c r="B27" s="98"/>
      <c r="C27" s="64"/>
      <c r="D27" s="64"/>
      <c r="E27" s="78"/>
      <c r="F27" s="78"/>
      <c r="H27" s="77"/>
      <c r="I27" s="78"/>
    </row>
    <row r="28" spans="1:10" x14ac:dyDescent="0.2">
      <c r="A28" s="98"/>
      <c r="B28" s="98"/>
      <c r="C28" s="64"/>
      <c r="D28" s="64"/>
    </row>
    <row r="29" spans="1:10" x14ac:dyDescent="0.2">
      <c r="A29" s="98"/>
      <c r="B29" s="98"/>
      <c r="C29" s="64"/>
      <c r="D29" s="64"/>
    </row>
    <row r="30" spans="1:10" x14ac:dyDescent="0.2">
      <c r="A30" s="98"/>
      <c r="B30" s="98"/>
      <c r="C30" s="64"/>
      <c r="D30" s="64"/>
    </row>
    <row r="31" spans="1:10" x14ac:dyDescent="0.2">
      <c r="A31" s="98"/>
      <c r="B31" s="98"/>
      <c r="C31" s="64"/>
      <c r="D31" s="64"/>
    </row>
    <row r="32" spans="1:10" x14ac:dyDescent="0.2">
      <c r="A32" s="98"/>
      <c r="B32" s="98"/>
      <c r="C32" s="64"/>
      <c r="D32" s="64"/>
    </row>
  </sheetData>
  <mergeCells count="4">
    <mergeCell ref="A1:H1"/>
    <mergeCell ref="A4:D4"/>
    <mergeCell ref="A19:C19"/>
    <mergeCell ref="A27:B3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AB071-822A-664A-9640-61D46A757848}">
  <dimension ref="A1:H11"/>
  <sheetViews>
    <sheetView showGridLines="0" workbookViewId="0">
      <selection activeCell="D13" sqref="D13"/>
    </sheetView>
  </sheetViews>
  <sheetFormatPr baseColWidth="10" defaultColWidth="10.83203125" defaultRowHeight="16" x14ac:dyDescent="0.2"/>
  <cols>
    <col min="2" max="2" width="27" customWidth="1"/>
    <col min="3" max="3" width="26.1640625" customWidth="1"/>
    <col min="4" max="4" width="69.33203125" customWidth="1"/>
    <col min="5" max="5" width="51.1640625" customWidth="1"/>
    <col min="6" max="6" width="17.5" customWidth="1"/>
    <col min="7" max="7" width="38.6640625" customWidth="1"/>
    <col min="8" max="8" width="76.6640625" customWidth="1"/>
  </cols>
  <sheetData>
    <row r="1" spans="1:8" ht="22" x14ac:dyDescent="0.3">
      <c r="A1" s="111" t="s">
        <v>696</v>
      </c>
      <c r="B1" s="111"/>
      <c r="C1" s="111"/>
    </row>
    <row r="3" spans="1:8" s="86" customFormat="1" ht="19" x14ac:dyDescent="0.25">
      <c r="A3" s="85" t="s">
        <v>636</v>
      </c>
      <c r="B3" s="85" t="s">
        <v>637</v>
      </c>
      <c r="C3" s="85" t="s">
        <v>638</v>
      </c>
      <c r="D3" s="85" t="s">
        <v>639</v>
      </c>
      <c r="E3" s="85" t="s">
        <v>640</v>
      </c>
      <c r="F3" s="85" t="s">
        <v>641</v>
      </c>
      <c r="G3" s="85" t="s">
        <v>642</v>
      </c>
      <c r="H3" s="85" t="s">
        <v>7</v>
      </c>
    </row>
    <row r="4" spans="1:8" x14ac:dyDescent="0.2">
      <c r="A4" s="10" t="s">
        <v>643</v>
      </c>
      <c r="B4" s="10" t="s">
        <v>644</v>
      </c>
      <c r="C4" s="10" t="s">
        <v>645</v>
      </c>
      <c r="D4" s="10" t="s">
        <v>646</v>
      </c>
      <c r="E4" s="10" t="s">
        <v>647</v>
      </c>
      <c r="F4" s="10" t="s">
        <v>354</v>
      </c>
      <c r="G4" s="10" t="s">
        <v>648</v>
      </c>
      <c r="H4" s="10" t="s">
        <v>649</v>
      </c>
    </row>
    <row r="5" spans="1:8" x14ac:dyDescent="0.2">
      <c r="A5" s="10" t="s">
        <v>650</v>
      </c>
      <c r="B5" s="10" t="s">
        <v>651</v>
      </c>
      <c r="C5" s="10" t="s">
        <v>645</v>
      </c>
      <c r="D5" s="10" t="s">
        <v>652</v>
      </c>
      <c r="E5" s="10" t="s">
        <v>653</v>
      </c>
      <c r="F5" s="10" t="s">
        <v>354</v>
      </c>
      <c r="G5" s="10" t="s">
        <v>654</v>
      </c>
      <c r="H5" s="10" t="s">
        <v>655</v>
      </c>
    </row>
    <row r="6" spans="1:8" x14ac:dyDescent="0.2">
      <c r="A6" s="10" t="s">
        <v>656</v>
      </c>
      <c r="B6" s="10" t="s">
        <v>657</v>
      </c>
      <c r="C6" s="10" t="s">
        <v>658</v>
      </c>
      <c r="D6" s="10" t="s">
        <v>659</v>
      </c>
      <c r="E6" s="10" t="s">
        <v>660</v>
      </c>
      <c r="F6" s="10" t="s">
        <v>354</v>
      </c>
      <c r="G6" s="10" t="s">
        <v>661</v>
      </c>
      <c r="H6" s="10" t="s">
        <v>662</v>
      </c>
    </row>
    <row r="7" spans="1:8" x14ac:dyDescent="0.2">
      <c r="A7" s="10" t="s">
        <v>663</v>
      </c>
      <c r="B7" s="10" t="s">
        <v>664</v>
      </c>
      <c r="C7" s="10" t="s">
        <v>462</v>
      </c>
      <c r="D7" s="10" t="s">
        <v>665</v>
      </c>
      <c r="E7" s="10" t="s">
        <v>666</v>
      </c>
      <c r="F7" s="10" t="s">
        <v>354</v>
      </c>
      <c r="G7" s="10" t="s">
        <v>667</v>
      </c>
      <c r="H7" s="10" t="s">
        <v>668</v>
      </c>
    </row>
    <row r="8" spans="1:8" x14ac:dyDescent="0.2">
      <c r="A8" s="10" t="s">
        <v>669</v>
      </c>
      <c r="B8" s="10" t="s">
        <v>153</v>
      </c>
      <c r="C8" s="10" t="s">
        <v>670</v>
      </c>
      <c r="D8" s="10" t="s">
        <v>671</v>
      </c>
      <c r="E8" s="10" t="s">
        <v>672</v>
      </c>
      <c r="F8" s="10" t="s">
        <v>673</v>
      </c>
      <c r="G8" s="10" t="s">
        <v>674</v>
      </c>
      <c r="H8" s="10" t="s">
        <v>675</v>
      </c>
    </row>
    <row r="9" spans="1:8" x14ac:dyDescent="0.2">
      <c r="A9" s="10" t="s">
        <v>676</v>
      </c>
      <c r="B9" s="10" t="s">
        <v>677</v>
      </c>
      <c r="C9" s="10" t="s">
        <v>678</v>
      </c>
      <c r="D9" s="10" t="s">
        <v>679</v>
      </c>
      <c r="E9" s="10" t="s">
        <v>680</v>
      </c>
      <c r="F9" s="10" t="s">
        <v>354</v>
      </c>
      <c r="G9" s="10" t="s">
        <v>681</v>
      </c>
      <c r="H9" s="10" t="s">
        <v>682</v>
      </c>
    </row>
    <row r="10" spans="1:8" x14ac:dyDescent="0.2">
      <c r="A10" s="10" t="s">
        <v>683</v>
      </c>
      <c r="B10" s="10" t="s">
        <v>684</v>
      </c>
      <c r="C10" s="10" t="s">
        <v>685</v>
      </c>
      <c r="D10" s="10" t="s">
        <v>686</v>
      </c>
      <c r="E10" s="10" t="s">
        <v>687</v>
      </c>
      <c r="F10" s="10" t="s">
        <v>673</v>
      </c>
      <c r="G10" s="10" t="s">
        <v>688</v>
      </c>
      <c r="H10" s="10" t="s">
        <v>689</v>
      </c>
    </row>
    <row r="11" spans="1:8" x14ac:dyDescent="0.2">
      <c r="A11" s="10" t="s">
        <v>690</v>
      </c>
      <c r="B11" s="10" t="s">
        <v>77</v>
      </c>
      <c r="C11" s="10" t="s">
        <v>691</v>
      </c>
      <c r="D11" s="10" t="s">
        <v>692</v>
      </c>
      <c r="E11" s="10" t="s">
        <v>693</v>
      </c>
      <c r="F11" s="10" t="s">
        <v>673</v>
      </c>
      <c r="G11" s="10" t="s">
        <v>694</v>
      </c>
      <c r="H11" s="10" t="s">
        <v>695</v>
      </c>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D364B-E4E6-AC4C-822F-5B183E7394EB}">
  <dimension ref="A1"/>
  <sheetViews>
    <sheetView workbookViewId="0"/>
  </sheetViews>
  <sheetFormatPr baseColWidth="10" defaultColWidth="10.83203125" defaultRowHeight="16" x14ac:dyDescent="0.2"/>
  <sheetData>
    <row r="1" spans="1:1" x14ac:dyDescent="0.2">
      <c r="A1" t="s">
        <v>697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7A01-B860-2F4B-A85E-BA5706325954}">
  <dimension ref="A1"/>
  <sheetViews>
    <sheetView workbookViewId="0"/>
  </sheetViews>
  <sheetFormatPr baseColWidth="10" defaultColWidth="10.83203125"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Deal Fact Sheet</vt:lpstr>
      <vt:lpstr>Valuation Bridge </vt:lpstr>
      <vt:lpstr>Aftermarket Trading </vt:lpstr>
      <vt:lpstr>Trading Comps</vt:lpstr>
      <vt:lpstr>Segment SOTP</vt:lpstr>
      <vt:lpstr>DCF Scenario</vt:lpstr>
      <vt:lpstr>Valuation Summary</vt:lpstr>
      <vt:lpstr>Deal Structure</vt:lpstr>
      <vt:lpstr>Use Of Proceeds </vt:lpstr>
      <vt:lpstr>Risk Factors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dc:creator>
  <cp:lastModifiedBy>Tejasvi </cp:lastModifiedBy>
  <dcterms:created xsi:type="dcterms:W3CDTF">2026-06-18T17:14:16Z</dcterms:created>
  <dcterms:modified xsi:type="dcterms:W3CDTF">2026-07-25T19:12:24Z</dcterms:modified>
</cp:coreProperties>
</file>