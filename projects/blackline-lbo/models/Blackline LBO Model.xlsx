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fd708c4643e6a7/Personal Projects/Private Equity/"/>
    </mc:Choice>
  </mc:AlternateContent>
  <xr:revisionPtr revIDLastSave="2981" documentId="8_{AD6743E2-48D5-604D-90ED-1724A27E54F1}" xr6:coauthVersionLast="47" xr6:coauthVersionMax="47" xr10:uidLastSave="{4F793F2F-915E-364F-BA54-1D80DA600CF2}"/>
  <bookViews>
    <workbookView xWindow="80" yWindow="600" windowWidth="25440" windowHeight="14320" firstSheet="1" activeTab="7" xr2:uid="{35CC1475-051E-1C4D-9827-CBDFF0EB811F}"/>
  </bookViews>
  <sheets>
    <sheet name="Cover" sheetId="1" r:id="rId1"/>
    <sheet name="Assumptions" sheetId="2" r:id="rId2"/>
    <sheet name="Sources" sheetId="3" r:id="rId3"/>
    <sheet name="Sources and Uses " sheetId="4" r:id="rId4"/>
    <sheet name="Operating Model" sheetId="5" r:id="rId5"/>
    <sheet name="Debt Schedule" sheetId="6" r:id="rId6"/>
    <sheet name="Returns" sheetId="7" r:id="rId7"/>
    <sheet name="Valuation Bridge" sheetId="13" r:id="rId8"/>
    <sheet name="Sensitivity" sheetId="8" r:id="rId9"/>
    <sheet name="Dashboard" sheetId="10" r:id="rId10"/>
    <sheet name="PB_CACHE_JS" sheetId="11" state="veryHidden" r:id="rId11"/>
    <sheet name="CACHE_CHARTS_JS" sheetId="12" state="veryHidden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3" i="7" l="1"/>
  <c r="B6" i="13"/>
  <c r="C8" i="4"/>
  <c r="C9" i="4"/>
  <c r="G8" i="6"/>
  <c r="F8" i="6"/>
  <c r="E8" i="6"/>
  <c r="D8" i="6"/>
  <c r="C8" i="6"/>
  <c r="B8" i="6"/>
  <c r="B6" i="8"/>
  <c r="G26" i="5"/>
  <c r="F26" i="5"/>
  <c r="E26" i="5"/>
  <c r="D26" i="5"/>
  <c r="C26" i="5"/>
  <c r="B13" i="6"/>
  <c r="C13" i="6"/>
  <c r="D13" i="6"/>
  <c r="E13" i="6"/>
  <c r="F13" i="6"/>
  <c r="G13" i="6"/>
  <c r="C6" i="6"/>
  <c r="D6" i="6"/>
  <c r="E6" i="6"/>
  <c r="F6" i="6"/>
  <c r="G6" i="6"/>
  <c r="B5" i="6"/>
  <c r="C9" i="13"/>
  <c r="C22" i="4"/>
  <c r="C21" i="4"/>
  <c r="E8" i="4"/>
  <c r="B6" i="7"/>
  <c r="B5" i="5"/>
  <c r="C5" i="5" s="1"/>
  <c r="C24" i="2" l="1"/>
  <c r="B6" i="6" s="1"/>
  <c r="B12" i="6" s="1"/>
  <c r="B7" i="6" s="1"/>
  <c r="C15" i="2"/>
  <c r="D10" i="1"/>
  <c r="D11" i="1"/>
  <c r="B5" i="10"/>
  <c r="B6" i="10"/>
  <c r="C22" i="5"/>
  <c r="C20" i="5"/>
  <c r="C11" i="5"/>
  <c r="C18" i="5" s="1"/>
  <c r="C9" i="5"/>
  <c r="C17" i="6" s="1"/>
  <c r="D5" i="5"/>
  <c r="B11" i="5"/>
  <c r="B18" i="5" s="1"/>
  <c r="B20" i="5"/>
  <c r="B22" i="5"/>
  <c r="C12" i="2"/>
  <c r="B5" i="7" l="1"/>
  <c r="B7" i="7" s="1"/>
  <c r="B5" i="8" s="1"/>
  <c r="K5" i="2"/>
  <c r="B14" i="6"/>
  <c r="B25" i="6" s="1"/>
  <c r="B10" i="10"/>
  <c r="D13" i="1"/>
  <c r="B4" i="10"/>
  <c r="C18" i="2"/>
  <c r="C5" i="4" s="1"/>
  <c r="C14" i="2"/>
  <c r="C11" i="4"/>
  <c r="C7" i="4"/>
  <c r="B8" i="5"/>
  <c r="C12" i="5"/>
  <c r="D9" i="5"/>
  <c r="D17" i="6" s="1"/>
  <c r="E5" i="5"/>
  <c r="D22" i="5"/>
  <c r="D20" i="5"/>
  <c r="D11" i="5"/>
  <c r="D18" i="5" s="1"/>
  <c r="C15" i="5" l="1"/>
  <c r="C16" i="5" s="1"/>
  <c r="C23" i="5" s="1"/>
  <c r="C24" i="6"/>
  <c r="K6" i="2"/>
  <c r="K10" i="2"/>
  <c r="B9" i="5"/>
  <c r="B17" i="6" s="1"/>
  <c r="B19" i="6" s="1"/>
  <c r="B8" i="8"/>
  <c r="C20" i="4"/>
  <c r="B7" i="10"/>
  <c r="C6" i="4"/>
  <c r="B8" i="13" s="1"/>
  <c r="E9" i="5"/>
  <c r="E17" i="6" s="1"/>
  <c r="F5" i="5"/>
  <c r="E22" i="5"/>
  <c r="E20" i="5"/>
  <c r="E11" i="5"/>
  <c r="E18" i="5" s="1"/>
  <c r="D12" i="5"/>
  <c r="D24" i="6" s="1"/>
  <c r="B12" i="5" l="1"/>
  <c r="C12" i="4"/>
  <c r="B8" i="7" s="1"/>
  <c r="D9" i="1"/>
  <c r="D15" i="5"/>
  <c r="D16" i="5" s="1"/>
  <c r="D23" i="5" s="1"/>
  <c r="F11" i="5"/>
  <c r="F18" i="5" s="1"/>
  <c r="F9" i="5"/>
  <c r="F17" i="6" s="1"/>
  <c r="G5" i="5"/>
  <c r="B7" i="8" s="1"/>
  <c r="F22" i="5"/>
  <c r="F20" i="5"/>
  <c r="E12" i="5"/>
  <c r="E24" i="6" s="1"/>
  <c r="B15" i="5" l="1"/>
  <c r="B16" i="5" s="1"/>
  <c r="B23" i="5" s="1"/>
  <c r="B24" i="6"/>
  <c r="B26" i="6" s="1"/>
  <c r="B5" i="13"/>
  <c r="B4" i="13"/>
  <c r="C13" i="4"/>
  <c r="C17" i="4" s="1"/>
  <c r="K8" i="2" s="1"/>
  <c r="B11" i="10"/>
  <c r="B13" i="10" s="1"/>
  <c r="D14" i="1"/>
  <c r="C26" i="2"/>
  <c r="D12" i="1"/>
  <c r="F12" i="5"/>
  <c r="E15" i="5"/>
  <c r="E16" i="5" s="1"/>
  <c r="E23" i="5" s="1"/>
  <c r="G11" i="5"/>
  <c r="G18" i="5" s="1"/>
  <c r="G9" i="5"/>
  <c r="G22" i="5"/>
  <c r="G20" i="5"/>
  <c r="F15" i="5" l="1"/>
  <c r="F16" i="5" s="1"/>
  <c r="F23" i="5" s="1"/>
  <c r="F24" i="6"/>
  <c r="B27" i="6"/>
  <c r="B29" i="6" s="1"/>
  <c r="B28" i="6"/>
  <c r="B15" i="6" s="1"/>
  <c r="B9" i="6" s="1"/>
  <c r="B18" i="6"/>
  <c r="C5" i="6"/>
  <c r="C12" i="6" s="1"/>
  <c r="C7" i="6" s="1"/>
  <c r="G17" i="6"/>
  <c r="G11" i="7"/>
  <c r="B12" i="10"/>
  <c r="C16" i="4"/>
  <c r="K7" i="2" s="1"/>
  <c r="C25" i="4"/>
  <c r="C18" i="4"/>
  <c r="C19" i="4" s="1"/>
  <c r="G12" i="5"/>
  <c r="G15" i="5" l="1"/>
  <c r="G16" i="5" s="1"/>
  <c r="G23" i="5" s="1"/>
  <c r="G24" i="6"/>
  <c r="C26" i="4"/>
  <c r="C30" i="2"/>
  <c r="C31" i="2" s="1"/>
  <c r="G12" i="7"/>
  <c r="H9" i="1" s="1"/>
  <c r="C14" i="6"/>
  <c r="C25" i="6" s="1"/>
  <c r="C26" i="6" s="1"/>
  <c r="B16" i="10"/>
  <c r="C27" i="6" l="1"/>
  <c r="C29" i="6" s="1"/>
  <c r="C19" i="6"/>
  <c r="C28" i="6" l="1"/>
  <c r="C15" i="6" s="1"/>
  <c r="C9" i="6" s="1"/>
  <c r="C18" i="6" s="1"/>
  <c r="D5" i="6" l="1"/>
  <c r="D12" i="6" s="1"/>
  <c r="D7" i="6" s="1"/>
  <c r="D14" i="6"/>
  <c r="D25" i="6" s="1"/>
  <c r="D26" i="6" s="1"/>
  <c r="D27" i="6" l="1"/>
  <c r="D29" i="6" s="1"/>
  <c r="D28" i="6"/>
  <c r="D15" i="6" s="1"/>
  <c r="D9" i="6" s="1"/>
  <c r="D19" i="6"/>
  <c r="D18" i="6" l="1"/>
  <c r="E5" i="6"/>
  <c r="E12" i="6" s="1"/>
  <c r="E7" i="6" s="1"/>
  <c r="E14" i="6" l="1"/>
  <c r="E25" i="6" s="1"/>
  <c r="E26" i="6" s="1"/>
  <c r="E27" i="6" l="1"/>
  <c r="E29" i="6" s="1"/>
  <c r="E19" i="6"/>
  <c r="E28" i="6" l="1"/>
  <c r="E15" i="6" s="1"/>
  <c r="E9" i="6" s="1"/>
  <c r="E18" i="6" s="1"/>
  <c r="F5" i="6" l="1"/>
  <c r="F12" i="6" s="1"/>
  <c r="F7" i="6" s="1"/>
  <c r="F14" i="6"/>
  <c r="F25" i="6" s="1"/>
  <c r="F26" i="6" s="1"/>
  <c r="F27" i="6" l="1"/>
  <c r="F29" i="6" s="1"/>
  <c r="F19" i="6"/>
  <c r="F28" i="6" l="1"/>
  <c r="F15" i="6" s="1"/>
  <c r="F9" i="6" s="1"/>
  <c r="F18" i="6" s="1"/>
  <c r="G5" i="6" l="1"/>
  <c r="G12" i="6" s="1"/>
  <c r="G7" i="6" s="1"/>
  <c r="G14" i="6"/>
  <c r="G25" i="6" s="1"/>
  <c r="G26" i="6" s="1"/>
  <c r="G27" i="6" l="1"/>
  <c r="G29" i="6" s="1"/>
  <c r="G19" i="6"/>
  <c r="G28" i="6" l="1"/>
  <c r="G15" i="6" s="1"/>
  <c r="G9" i="6" s="1"/>
  <c r="B21" i="6"/>
  <c r="G18" i="6"/>
  <c r="H13" i="1"/>
  <c r="B7" i="13"/>
  <c r="G14" i="7" l="1"/>
  <c r="G17" i="7" s="1"/>
  <c r="D22" i="8"/>
  <c r="F12" i="8"/>
  <c r="D15" i="8"/>
  <c r="C24" i="8"/>
  <c r="C23" i="8"/>
  <c r="G16" i="8"/>
  <c r="F21" i="8"/>
  <c r="F16" i="8"/>
  <c r="D24" i="8"/>
  <c r="E15" i="8"/>
  <c r="C15" i="8"/>
  <c r="E23" i="8"/>
  <c r="D21" i="8"/>
  <c r="C20" i="8"/>
  <c r="C14" i="8"/>
  <c r="G13" i="8"/>
  <c r="D14" i="8"/>
  <c r="D13" i="8"/>
  <c r="D23" i="8"/>
  <c r="F13" i="8"/>
  <c r="E21" i="8"/>
  <c r="G15" i="8"/>
  <c r="E22" i="8"/>
  <c r="G14" i="8"/>
  <c r="G20" i="8"/>
  <c r="E13" i="8"/>
  <c r="C22" i="8"/>
  <c r="E20" i="8"/>
  <c r="G24" i="8"/>
  <c r="F22" i="8"/>
  <c r="E14" i="8"/>
  <c r="C13" i="8"/>
  <c r="F14" i="8"/>
  <c r="G21" i="8"/>
  <c r="G22" i="8"/>
  <c r="E16" i="8"/>
  <c r="G23" i="8"/>
  <c r="F15" i="8"/>
  <c r="C21" i="8"/>
  <c r="C16" i="8"/>
  <c r="F20" i="8"/>
  <c r="F23" i="8"/>
  <c r="D16" i="8"/>
  <c r="E24" i="8"/>
  <c r="F24" i="8"/>
  <c r="D20" i="8"/>
  <c r="E12" i="8"/>
  <c r="G12" i="8"/>
  <c r="D12" i="8"/>
  <c r="C12" i="8"/>
  <c r="H11" i="1" l="1"/>
  <c r="B18" i="10"/>
  <c r="G18" i="7"/>
  <c r="H10" i="1"/>
  <c r="B17" i="10"/>
  <c r="B9" i="13"/>
  <c r="C5" i="13" l="1"/>
  <c r="C8" i="13"/>
  <c r="C6" i="13"/>
  <c r="C7" i="13"/>
  <c r="B10" i="13"/>
  <c r="C10" i="13" s="1"/>
  <c r="C4" i="13"/>
  <c r="B19" i="10"/>
  <c r="H12" i="1"/>
</calcChain>
</file>

<file path=xl/sharedStrings.xml><?xml version="1.0" encoding="utf-8"?>
<sst xmlns="http://schemas.openxmlformats.org/spreadsheetml/2006/main" count="525" uniqueCount="360">
  <si>
    <t>Model Date</t>
  </si>
  <si>
    <t>Currency</t>
  </si>
  <si>
    <t>TRANSACTION ASSUMPTIONS</t>
  </si>
  <si>
    <t>Entry Revenue</t>
  </si>
  <si>
    <t>Entry EBITDA</t>
  </si>
  <si>
    <t>EBITDA Margin</t>
  </si>
  <si>
    <t>Entry EV / Revenue</t>
  </si>
  <si>
    <t>Entry EV / EBITDA</t>
  </si>
  <si>
    <t>Entry Enterprise Value</t>
  </si>
  <si>
    <t>USES ASSUMPTIONS</t>
  </si>
  <si>
    <t>Purchase Enterprise Value</t>
  </si>
  <si>
    <t>Transaction Fees</t>
  </si>
  <si>
    <t>Financing Fees</t>
  </si>
  <si>
    <t>FINANCING ASSUMPTIONS</t>
  </si>
  <si>
    <t>Debt / EBITDA</t>
  </si>
  <si>
    <t>New Debt</t>
  </si>
  <si>
    <t>Cash Interest Rate</t>
  </si>
  <si>
    <t>Sponsor Equity</t>
  </si>
  <si>
    <t>OUTPUT CHECKS</t>
  </si>
  <si>
    <t>Sources Less Uses</t>
  </si>
  <si>
    <t>Balance Check</t>
  </si>
  <si>
    <t>H</t>
  </si>
  <si>
    <t>M</t>
  </si>
  <si>
    <t>PitchBook / Company Filings</t>
  </si>
  <si>
    <t>Model Convention</t>
  </si>
  <si>
    <t>Figures Presented In</t>
  </si>
  <si>
    <t>Formula</t>
  </si>
  <si>
    <t>Sponsor Assumption</t>
  </si>
  <si>
    <t>PitchBook LBO Comps</t>
  </si>
  <si>
    <t>LevFin Market Data</t>
  </si>
  <si>
    <t>H/M</t>
  </si>
  <si>
    <t>BLACKLINE TAKE-PRIVATE LBO — ASSUMPTIONS</t>
  </si>
  <si>
    <t>DEAL DATE / MODEL SETUP</t>
  </si>
  <si>
    <t>Date</t>
  </si>
  <si>
    <t>Model valuation date</t>
  </si>
  <si>
    <t>Text</t>
  </si>
  <si>
    <t>Reporting currency</t>
  </si>
  <si>
    <t>Financial unit convention</t>
  </si>
  <si>
    <t>$mm</t>
  </si>
  <si>
    <t>%</t>
  </si>
  <si>
    <t>EBITDA / Revenue</t>
  </si>
  <si>
    <t>x</t>
  </si>
  <si>
    <t>SaaS transaction comps</t>
  </si>
  <si>
    <t>Derived valuation multiple</t>
  </si>
  <si>
    <t>Implied purchase EV</t>
  </si>
  <si>
    <t>Purchase consideration</t>
  </si>
  <si>
    <t>% EV</t>
  </si>
  <si>
    <t>% Debt</t>
  </si>
  <si>
    <t>Debt issuance fees</t>
  </si>
  <si>
    <t>Sponsor leverage</t>
  </si>
  <si>
    <t>Debt raised at close</t>
  </si>
  <si>
    <t>SOFR + spread</t>
  </si>
  <si>
    <t>Equity check</t>
  </si>
  <si>
    <t>Must equal zero</t>
  </si>
  <si>
    <t>Return OK or ERROR</t>
  </si>
  <si>
    <t>Item</t>
  </si>
  <si>
    <t>USD</t>
  </si>
  <si>
    <t>Legal, advisory, diligence</t>
  </si>
  <si>
    <t>Entity / PBID</t>
  </si>
  <si>
    <t>Value</t>
  </si>
  <si>
    <t>Units</t>
  </si>
  <si>
    <t>Source</t>
  </si>
  <si>
    <t>Confidence</t>
  </si>
  <si>
    <t>Notes</t>
  </si>
  <si>
    <t>58453-75</t>
  </si>
  <si>
    <t xml:space="preserve">PitchBook Market Data </t>
  </si>
  <si>
    <t>Ticker</t>
  </si>
  <si>
    <t>Metric</t>
  </si>
  <si>
    <t>Entry EV</t>
  </si>
  <si>
    <t>Debt % Capital</t>
  </si>
  <si>
    <t>Equity % Capital</t>
  </si>
  <si>
    <t xml:space="preserve">BLACKLINE TAKE PRIVATE -LBO – SOURCES AND USES </t>
  </si>
  <si>
    <t>item</t>
  </si>
  <si>
    <t xml:space="preserve"> Reference </t>
  </si>
  <si>
    <t xml:space="preserve">Notes </t>
  </si>
  <si>
    <t xml:space="preserve">USES OF FUNDS </t>
  </si>
  <si>
    <t xml:space="preserve">Purchase Enterprise Value </t>
  </si>
  <si>
    <t xml:space="preserve">Transaction Fees </t>
  </si>
  <si>
    <t xml:space="preserve">Financing Fees </t>
  </si>
  <si>
    <t xml:space="preserve">Total Uses </t>
  </si>
  <si>
    <t xml:space="preserve">Assumptions </t>
  </si>
  <si>
    <t xml:space="preserve">Formula </t>
  </si>
  <si>
    <t>Purchase Consideration</t>
  </si>
  <si>
    <t xml:space="preserve">Debt Issuance Costs </t>
  </si>
  <si>
    <t xml:space="preserve">Total Transaction Costs </t>
  </si>
  <si>
    <t xml:space="preserve">SOURCES OF FUNDS </t>
  </si>
  <si>
    <t xml:space="preserve">New Debt </t>
  </si>
  <si>
    <t xml:space="preserve">Sponsor Equity </t>
  </si>
  <si>
    <t xml:space="preserve">Total Sources </t>
  </si>
  <si>
    <t>Plug</t>
  </si>
  <si>
    <t xml:space="preserve">Acquisition Financing </t>
  </si>
  <si>
    <t>Equity Contribution</t>
  </si>
  <si>
    <t xml:space="preserve">Total Funding </t>
  </si>
  <si>
    <t>TRANSACTION SUMMARY</t>
  </si>
  <si>
    <t>Debt % Of Capital</t>
  </si>
  <si>
    <t>Equity % of Capital</t>
  </si>
  <si>
    <t xml:space="preserve">Entry EV/EBITDA </t>
  </si>
  <si>
    <t>Entry EV /REVENUE</t>
  </si>
  <si>
    <t>BALANCE CHECK</t>
  </si>
  <si>
    <t xml:space="preserve">Sources Less Uses </t>
  </si>
  <si>
    <t>Model Check</t>
  </si>
  <si>
    <t>DEBT/EBITDA</t>
  </si>
  <si>
    <t>Equity Check ($mm)</t>
  </si>
  <si>
    <t>Assumptions</t>
  </si>
  <si>
    <t xml:space="preserve">Equity Check Status  </t>
  </si>
  <si>
    <t>Legal, Advisory, diligence</t>
  </si>
  <si>
    <t xml:space="preserve">BLACKLINE TAKE - PRIVATE LBO – OPERATING MODEL </t>
  </si>
  <si>
    <t xml:space="preserve">Fiscal Year </t>
  </si>
  <si>
    <t xml:space="preserve">2026 E </t>
  </si>
  <si>
    <t xml:space="preserve">2027 E </t>
  </si>
  <si>
    <t xml:space="preserve">2028 E </t>
  </si>
  <si>
    <t xml:space="preserve">2029 E </t>
  </si>
  <si>
    <t xml:space="preserve">2030 E </t>
  </si>
  <si>
    <t xml:space="preserve">2031 E </t>
  </si>
  <si>
    <t>REVENUE BUILD</t>
  </si>
  <si>
    <t xml:space="preserve">Revenue </t>
  </si>
  <si>
    <t xml:space="preserve">Revenue Growth </t>
  </si>
  <si>
    <t>PROFITABILITY</t>
  </si>
  <si>
    <t>EBITDA</t>
  </si>
  <si>
    <t xml:space="preserve">D&amp;A/ Revenue </t>
  </si>
  <si>
    <t xml:space="preserve">D&amp;A </t>
  </si>
  <si>
    <t>EBIT</t>
  </si>
  <si>
    <t>TAXES</t>
  </si>
  <si>
    <t xml:space="preserve">Cash Tax Rate </t>
  </si>
  <si>
    <t>Cash Taxes</t>
  </si>
  <si>
    <t>NOPAT</t>
  </si>
  <si>
    <t>FREE CASH FLOW</t>
  </si>
  <si>
    <t>Plus: D&amp;A</t>
  </si>
  <si>
    <t xml:space="preserve">Less: Capex/Revenue </t>
  </si>
  <si>
    <t xml:space="preserve">Less: Capex </t>
  </si>
  <si>
    <t xml:space="preserve">Less: Change in NWC/ Revenue </t>
  </si>
  <si>
    <t xml:space="preserve">Less: Change in NWC </t>
  </si>
  <si>
    <t>Fiscal Year</t>
  </si>
  <si>
    <t>2026E</t>
  </si>
  <si>
    <t>2026 E</t>
  </si>
  <si>
    <t>2027 E</t>
  </si>
  <si>
    <t>2028 E</t>
  </si>
  <si>
    <t>2029 E</t>
  </si>
  <si>
    <t>2030 E</t>
  </si>
  <si>
    <t>2031 E</t>
  </si>
  <si>
    <t xml:space="preserve">DEBT BALANCE </t>
  </si>
  <si>
    <t xml:space="preserve">Beginning Debt </t>
  </si>
  <si>
    <t xml:space="preserve">New Debt Issued </t>
  </si>
  <si>
    <t xml:space="preserve">Cash sweep </t>
  </si>
  <si>
    <t xml:space="preserve">Ending Debt </t>
  </si>
  <si>
    <t xml:space="preserve">INTEREST EXPENSE </t>
  </si>
  <si>
    <t xml:space="preserve">Cash Interest Rate </t>
  </si>
  <si>
    <t xml:space="preserve">CREDIT METRICS </t>
  </si>
  <si>
    <t>Mandatory Amortization</t>
  </si>
  <si>
    <t>Ending Debt Check</t>
  </si>
  <si>
    <t xml:space="preserve">BLACKLINE TAKE - PRIVATE LBO – RETURNS ANALYSIS </t>
  </si>
  <si>
    <t>ENTRY VALUATION</t>
  </si>
  <si>
    <t xml:space="preserve">Entry Enterprise Value </t>
  </si>
  <si>
    <t xml:space="preserve">Entry EBITDA </t>
  </si>
  <si>
    <t>EXIT VALUATION</t>
  </si>
  <si>
    <t xml:space="preserve">Exit EBITDA </t>
  </si>
  <si>
    <t xml:space="preserve">Exit Equity Value </t>
  </si>
  <si>
    <t xml:space="preserve">RETURNS </t>
  </si>
  <si>
    <t>MOIC</t>
  </si>
  <si>
    <t>GROSS IRR</t>
  </si>
  <si>
    <t xml:space="preserve">Exit Enterprise Value </t>
  </si>
  <si>
    <t>2027E</t>
  </si>
  <si>
    <t>2028E</t>
  </si>
  <si>
    <t>2029E</t>
  </si>
  <si>
    <t>2030E</t>
  </si>
  <si>
    <t>2031E</t>
  </si>
  <si>
    <t xml:space="preserve">BLACKLINE TAKE - PRIVATE LBO – SENSITIVITY TABLE </t>
  </si>
  <si>
    <t xml:space="preserve">TRANSACTION SUMMARY </t>
  </si>
  <si>
    <t xml:space="preserve">Exit EV/EBITDA </t>
  </si>
  <si>
    <t xml:space="preserve">Revenue CAGR </t>
  </si>
  <si>
    <t>EBITDA Margin Expansion</t>
  </si>
  <si>
    <t>IRR SENSITIVITY MATRIX</t>
  </si>
  <si>
    <t>Exit Multiple↓/ Margin →</t>
  </si>
  <si>
    <t>10.0x</t>
  </si>
  <si>
    <t>11.0x</t>
  </si>
  <si>
    <t>12.0x</t>
  </si>
  <si>
    <t>13.0x</t>
  </si>
  <si>
    <t>14.0x</t>
  </si>
  <si>
    <t>MOIC SENSITIVITY MATRIX</t>
  </si>
  <si>
    <t>BLACKLINE TAKE -PRIVATE LBO – DASHBOARD</t>
  </si>
  <si>
    <t xml:space="preserve">TRANSACTION OVERVIEW </t>
  </si>
  <si>
    <t>ENTRY EV</t>
  </si>
  <si>
    <t>REVENUE</t>
  </si>
  <si>
    <t xml:space="preserve">ENTRY MULTIPLE </t>
  </si>
  <si>
    <t>CAPITAL STRUCTURE</t>
  </si>
  <si>
    <t>DEBT</t>
  </si>
  <si>
    <t xml:space="preserve">SPONSOR EQUITY </t>
  </si>
  <si>
    <t>DEBT%</t>
  </si>
  <si>
    <t>EQUITY %</t>
  </si>
  <si>
    <t xml:space="preserve">RETURNS SUMMARY </t>
  </si>
  <si>
    <t>EXIT EV</t>
  </si>
  <si>
    <t>EXIT EQUITY</t>
  </si>
  <si>
    <t xml:space="preserve">GROSS IRR </t>
  </si>
  <si>
    <t xml:space="preserve">INVESTMENT THESIS </t>
  </si>
  <si>
    <t xml:space="preserve">KEY RISK </t>
  </si>
  <si>
    <t>→ Mission-critical financial close automation platform with recurring SaaS revenue profile</t>
  </si>
  <si>
    <t>→Margin expansion opportunity through operating leverage and go-to-market efficiency</t>
  </si>
  <si>
    <t>→Attractive sponsor entry valuation supported by public SaaS comps plus control premium</t>
  </si>
  <si>
    <t>→Revenue growth deceleration or weaker enterprise software demand</t>
  </si>
  <si>
    <t>→Execution risk around EBITDA margin expansion</t>
  </si>
  <si>
    <t>→Higher-for-longer interest rates reducing free cash flow and debt paydown capacity</t>
  </si>
  <si>
    <t>PREPARED FOR SPONSOR INVESTMENT COMMITTEE</t>
  </si>
  <si>
    <t>Entry EV/EBITDA</t>
  </si>
  <si>
    <t>Debt Raised</t>
  </si>
  <si>
    <t>Gross IRR</t>
  </si>
  <si>
    <t>INVESTMENT THESIS</t>
  </si>
  <si>
    <t>• Mission-critical financial close automation platform embedded within enterprise accounting workflows, resulting in high switching costs and durable customer relationships.
• Attractive operating leverage opportunity through sales efficiency improvements, disciplined cost management and platform scalability.
• Highly recurring subscription revenue model generating predictable cash flows and strong free cash flow conversion.
• Opportunity to acquire a high-quality software asset at an attractive valuation relative to historical software transaction multiples.
• Multiple potential exit pathways including sponsor-to-sponsor sale, strategic acquisition or public market re-listing.</t>
  </si>
  <si>
    <t>KEY RISKS</t>
  </si>
  <si>
    <t>• Enterprise software spending slowdown could negatively impact revenue growth and customer expansion activity.
• Failure to achieve planned EBITDA margin expansion could reduce sponsor returns.
• Competitive pressure from ERP vendors and adjacent software providers could affect pricing power and customer retention.
• Higher interest rates may reduce deleveraging capacity and equity returns.
• Exit multiple compression could materially reduce MOIC and IRR outcomes.</t>
  </si>
  <si>
    <t>BLACKLINE TAKE-PRIVATE LBO MODEL</t>
  </si>
  <si>
    <t>SPONSOR EQUITY</t>
  </si>
  <si>
    <t xml:space="preserve">DEBT PAYDOWN </t>
  </si>
  <si>
    <t>Sources:
PitchBook | SEC Filings | Company IR Materials | Public Trading Comparables| Management Estimates</t>
  </si>
  <si>
    <t>Sector</t>
  </si>
  <si>
    <t>Software</t>
  </si>
  <si>
    <t>Industry</t>
  </si>
  <si>
    <t>Financial Software</t>
  </si>
  <si>
    <t>Headquarters</t>
  </si>
  <si>
    <t>METRIC</t>
  </si>
  <si>
    <t>VALUE</t>
  </si>
  <si>
    <t>PERIOD</t>
  </si>
  <si>
    <t>SOURCE</t>
  </si>
  <si>
    <t>NOTES</t>
  </si>
  <si>
    <t>COMPANY OVERVIEW</t>
  </si>
  <si>
    <t xml:space="preserve">Company </t>
  </si>
  <si>
    <t>Los Angeles, CA</t>
  </si>
  <si>
    <t>Current</t>
  </si>
  <si>
    <t>PitchBook</t>
  </si>
  <si>
    <t>Company Profile</t>
  </si>
  <si>
    <t>Standardized</t>
  </si>
  <si>
    <t>Target Company</t>
  </si>
  <si>
    <t>Enterprise Software</t>
  </si>
  <si>
    <t>United States</t>
  </si>
  <si>
    <t>OPERATING METRICS</t>
  </si>
  <si>
    <t>TRANSACTION ASSUMPTION</t>
  </si>
  <si>
    <t xml:space="preserve">FINANCING ASSUMPTION </t>
  </si>
  <si>
    <t xml:space="preserve">PUBLIC COMPANY COMPARABLE </t>
  </si>
  <si>
    <t xml:space="preserve">COMPANY </t>
  </si>
  <si>
    <t xml:space="preserve">TICKER </t>
  </si>
  <si>
    <t xml:space="preserve">SOURCE </t>
  </si>
  <si>
    <t xml:space="preserve">RATIONALE </t>
  </si>
  <si>
    <t>BILL Holdings</t>
  </si>
  <si>
    <t>Freshworks</t>
  </si>
  <si>
    <t>Sprout Social</t>
  </si>
  <si>
    <t>Q2 Holdings</t>
  </si>
  <si>
    <t xml:space="preserve">BlackLine </t>
  </si>
  <si>
    <t>{"Assumptions":{"F|^NAS:BLTotal Revenue Consensus MeanFY07/18/1905USD2026-07":{"id":56,"description":null,"headerValues":[{"simpleDate":null,"value":"PBXLP_UpgradeRequired","description":null}],"financialValues":[],"customValues":[],"error":null},"F|^58453-75Reported Total RevenueFY07/02/2026USDt":{"r":[[700427000]],"c":null,"a":["Assumptions!C10"]},"F|^58453-75Reported Total RevenueFY2026YUSD":{"id":60,"description":null,"headerValues":[],"financialValues":[],"customValues":[],"error":null},"F|^58453-75Total RevenueFY2026YUSD":{"id":61,"description":null,"headerValues":[],"financialValues":[],"customValues":[],"error":null},"F|^58453-75Total RevenueFY07/02/2026USDr":{"r":[[700427000]],"c":null,"a":["Assumptions!C10"]},"F|^58453-75EBITDAFY2026YUSD":{"id":63,"description":null,"headerValues":[],"financialValues":[],"customValues":[],"error":null},"F|^58453-75EBITDAFY07/02/2026USDr":{"r":[[72087000]],"c":null,"a":["Assumptions!C11"]},"F|^58453-75Total RevenueNTM07/02/2026USD":{"r":[[716651000]],"c":null,"a":["Assumptions!C10"]},"F|^58453-75EBITDANTM07/02/2026USD":{"r":[[75415000]],"c":null,"a":["Assumptions!C11"]},"F|^NAS:BLEBITDA (Normalized)NTM07/02/2026USD":{"r":[[185146000]],"c":null,"a":["Assumptions!C11"]},"M|^58453-75EV to Revenue07/02/202607/02/2026dasc0USD":{"id":70,"description":null,"headerValues":[],"financialValues":[],"customValues":[],"error":null},"F|^58453-75EV to RevenueNTM07/02/2026USD":{"r":[[2.6810609431927115]],"c":null,"a":["Assumptions!C13"]},"F|^58453-75EV to EBITDANTM07/02/2026USD":{"r":[[25.477491294835247]],"c":null,"a":["Assumptions!C14"]},"D|^58453-75Debt / EBITDAUSD":{"id":126,"description":null,"headerValues":[{"simpleDate":null,"value":"PBXLP_WRONG_INPUT","description":null}],"financialValues":[],"customValues":[],"error":null},"F|^58453-75Total Debt to EBITDANTM2026YUSD":{"id":127,"description":null,"headerValues":[],"financialValues":[],"customValues":[],"error":null},"F|^58453-75Total Debt to EBITDAFY2026YUSD":{"id":128,"description":null,"headerValues":[],"financialValues":[],"customValues":[],"error":null},"F|^58453-75Total Debt to EBITDAFY07/02/2026USDr":{"r":[[12.762986391443672]],"c":null,"a":["Assumptions!C23"]},"F|^58453-75Total Debt to EBITDANTM07/02/2026USD":{"r":[[11.591715176025989]],"c":null,"a":["Assumptions!C23"]}},"Sources":{"F|^NAS:BLEBITDA (Normalized)NTM07/02/2026USD":{"r":[[185146000]],"c":null,"a":["Sources!E4"]},"F|^NAS:BLEnterprise ValueNTM07/02/2026USD":{"r":[[1921385006]],"c":null,"a":["Sources!C4"]},"F|^NAS:BLRevenue GrowthNTM07/02/2026USD":{"r":[[0.08123794896244152]],"c":null,"a":["Sources!H4"]},"F|^NAS:BLTotal RevenueNTM07/02/2026USD":{"r":[[716651000]],"c":null,"a":["Sources!D4"]},"F|^NYS:BILLEBITDA (Normalized)NTM07/02/2026USD":{"r":[[289889000]],"c":null,"a":["Sources!E5"]},"F|^NYS:BILLEnterprise ValueNTM07/02/2026USD":{"r":[[3574870073]],"c":null,"a":["Sources!C5"]},"F|^NYS:BILLRevenue GrowthNTM07/02/2026USD":{"r":[[0.12470298021273685]],"c":null,"a":["Sources!H5"]},"F|^NYS:BILLTotal RevenueNTM07/02/2026USD":{"r":[[1600323000]],"c":null,"a":["Sources!D5"]},"F|^NAS:SPTEBITDA (Normalized)NTM07/02/2026USD":{"r":[[51991000]],"c":null,"a":["Sources!E7"]},"F|^NAS:SPTEnterprise ValueNTM07/02/2026USD":{"r":[[415178248]],"c":null,"a":["Sources!C7"]},"F|^NAS:SPTRevenue GrowthNTM07/02/2026USD":{"r":[[0.1227065124649569]],"c":null,"a":["Sources!H7"]},"F|^NAS:SPTTotal RevenueNTM07/02/2026USD":{"r":[[469755000]],"c":null,"a":["Sources!D7"]},"F|^NYS:QTWOEBITDA (Normalized)NTM07/02/2026USD":{"r":[[205836000]],"c":null,"a":["Sources!E8"]},"F|^NYS:QTWOEnterprise ValueNTM07/02/2026USD":{"r":[[3107552235]],"c":null,"a":["Sources!C8"]},"F|^NYS:QTWORevenue GrowthNTM07/02/2026USD":{"r":[[0.139989260307122]],"c":null,"a":["Sources!H8"]},"F|^NYS:QTWOTotal RevenueNTM07/02/2026USD":{"r":[[821580000]],"c":null,"a":["Sources!D8"]},"F|^NAS:FRSHEBITDA (Normalized)NTM07/02/2026USD":{"r":[[176622000]],"c":null,"a":["Sources!E6"]},"F|^NAS:FRSHEnterprise ValueNTM07/02/2026USD":{"r":[[2137237679]],"c":null,"a":["Sources!C6"]},"F|^NAS:FRSHRevenue GrowthNTM07/02/2026USD":{"r":[[0.15916306300312688]],"c":null,"a":["Sources!H6"]},"F|^NAS:FRSHTotal RevenueNTM07/02/2026USD":{"r":[[871169000]],"c":null,"a":["Sources!D6"]},"F|^NAS:BLEnterprise Value07/02/2026USD":{"r":[[1921385006]],"c":null,"a":["Sources!C4"]},"F|^NYS:BILLEnterprise Value07/02/2026USD":{"r":[[3574870073]],"c":null,"a":["Sources!C5"]},"F|^NAS:SPTEnterprise Value07/02/2026USD":{"r":[[415178248]],"c":null,"a":["Sources!C7"]},"F|^NYS:QTWOEnterprise Value07/02/2026USD":{"r":[[3107552235]],"c":null,"a":["Sources!C8"]},"F|^NAS:FRSHEnterprise Value07/02/2026USD":{"r":[[2137237679]],"c":null,"a":["Sources!C6"]},"MATCHSYMBOL|^BlackLine ":{"r":[["NAS:BL"]]},"MATCHSYMBOL|^BILL Holdings":{"r":[["NYS:BILL"]]},"MATCHSYMBOL|^Q2 Holdings":{"r":[["NYS:QTWO"]]},"MATCHSYMBOL|^Freshworks":{"r":[["NAS:FRSH"]]},"MATCHSYMBOL|^Sprout Social":{"r":[["NAS:SPT"]]}}}</t>
  </si>
  <si>
    <t>BL</t>
  </si>
  <si>
    <t>BILL</t>
  </si>
  <si>
    <t>FRSH</t>
  </si>
  <si>
    <t>SPT</t>
  </si>
  <si>
    <t>QTWO</t>
  </si>
  <si>
    <t>Adjacent Financial Automation</t>
  </si>
  <si>
    <t>SaaS Benchmark</t>
  </si>
  <si>
    <t xml:space="preserve">Mid-Cap SaaS Benchmark </t>
  </si>
  <si>
    <t xml:space="preserve">Financial Software Comparable </t>
  </si>
  <si>
    <t xml:space="preserve">DATA SOURCES </t>
  </si>
  <si>
    <t>SEC Filing</t>
  </si>
  <si>
    <t>Company Investor Relation</t>
  </si>
  <si>
    <t>Public Trading Comparables</t>
  </si>
  <si>
    <t>Management Estimates</t>
  </si>
  <si>
    <t xml:space="preserve">Leveraged Finance Market Data </t>
  </si>
  <si>
    <t>Market Data and trading multiples</t>
  </si>
  <si>
    <t>Historical Financials</t>
  </si>
  <si>
    <t>Valuation Benchmarking</t>
  </si>
  <si>
    <t>Forecast Assumptions</t>
  </si>
  <si>
    <t xml:space="preserve">Debt Pricing and Leverage </t>
  </si>
  <si>
    <t xml:space="preserve">Usage </t>
  </si>
  <si>
    <t>Revenue</t>
  </si>
  <si>
    <t>NTM</t>
  </si>
  <si>
    <t>PitchBook Excel Plugin</t>
  </si>
  <si>
    <t>Reported Total Revenue</t>
  </si>
  <si>
    <t>Underwriting Revenue</t>
  </si>
  <si>
    <t>Normalized EBITDA</t>
  </si>
  <si>
    <t>Underwriting EBITDA</t>
  </si>
  <si>
    <t>Calculated</t>
  </si>
  <si>
    <t>Derived Metric</t>
  </si>
  <si>
    <t>EV / Revenue</t>
  </si>
  <si>
    <t>Enterprise Value / Revenue</t>
  </si>
  <si>
    <t>Entry Multiple</t>
  </si>
  <si>
    <t>EV / EBITDA</t>
  </si>
  <si>
    <t>Enterprise Value / EBITDA</t>
  </si>
  <si>
    <t>Enterprise Value</t>
  </si>
  <si>
    <t>Entry</t>
  </si>
  <si>
    <t>Revenue × EV / Revenue</t>
  </si>
  <si>
    <t>Purchase Price</t>
  </si>
  <si>
    <t>Sponsor Underwriting</t>
  </si>
  <si>
    <t>Public Comp Benchmarking</t>
  </si>
  <si>
    <t>Purchase Multiple</t>
  </si>
  <si>
    <t>Exit EV / EBITDA</t>
  </si>
  <si>
    <t>Exit</t>
  </si>
  <si>
    <t>Multiple Neutral Exit</t>
  </si>
  <si>
    <t>No Expansion Assumed</t>
  </si>
  <si>
    <t>Hold Period</t>
  </si>
  <si>
    <t>5 Years</t>
  </si>
  <si>
    <t>Model</t>
  </si>
  <si>
    <t>Standard PE Hold</t>
  </si>
  <si>
    <t>2026-2031</t>
  </si>
  <si>
    <t>Control Premium</t>
  </si>
  <si>
    <t>Market Convention</t>
  </si>
  <si>
    <t>Typical Take-Private Premium</t>
  </si>
  <si>
    <t>Illustrative</t>
  </si>
  <si>
    <t>LevFin Market</t>
  </si>
  <si>
    <t>Market Leverage Capacity</t>
  </si>
  <si>
    <t>Senior Debt</t>
  </si>
  <si>
    <t>Interest Rate</t>
  </si>
  <si>
    <t>SOFR + Credit Spread</t>
  </si>
  <si>
    <t>Cash Interest</t>
  </si>
  <si>
    <t>% of Purchase EV</t>
  </si>
  <si>
    <t>Advisory Fees</t>
  </si>
  <si>
    <t>% of Debt Raised</t>
  </si>
  <si>
    <t>OID + Debt Fees</t>
  </si>
  <si>
    <t>Annual</t>
  </si>
  <si>
    <t>Credit Agreement Convention</t>
  </si>
  <si>
    <t>Annual Sweep</t>
  </si>
  <si>
    <t>Simplified Assumption</t>
  </si>
  <si>
    <t>Prepared for educational and portfolio purposes only.
Financial information derived from public sources and market data providers.</t>
  </si>
  <si>
    <t>Debt Balance for Interest</t>
  </si>
  <si>
    <t>Interest Expense</t>
  </si>
  <si>
    <t>Interest Coverage</t>
  </si>
  <si>
    <t>Lever</t>
  </si>
  <si>
    <t>% of Equity Gain</t>
  </si>
  <si>
    <t>Revenue Growth</t>
  </si>
  <si>
    <t>Margin Expansion</t>
  </si>
  <si>
    <t>Multiple Expansion</t>
  </si>
  <si>
    <t>Deleveraging</t>
  </si>
  <si>
    <t>Transaction &amp; Financing Fees</t>
  </si>
  <si>
    <t>RULE OF 40</t>
  </si>
  <si>
    <t>Revenue Growth + EBITDA Margin</t>
  </si>
  <si>
    <t>Total Equity Gain</t>
  </si>
  <si>
    <t>Value ($mm)</t>
  </si>
  <si>
    <t>Check</t>
  </si>
  <si>
    <t>BlackLine</t>
  </si>
  <si>
    <t>Office of CFO Software</t>
  </si>
  <si>
    <t>NYSE Listed</t>
  </si>
  <si>
    <t>USD ($mm)</t>
  </si>
  <si>
    <t>BLACKLINE TAKE-PRIVATE LBO – SOURCES</t>
  </si>
  <si>
    <t>METHODOLOGY</t>
  </si>
  <si>
    <t>BLACKLINE TAKE-PRIVATE LBO – VALUATION BRIDGE</t>
  </si>
  <si>
    <t>Hold Period (Years)</t>
  </si>
  <si>
    <t>BLACKLINE TAKE-PRIVATE LBO – DEBT SCHEDULE</t>
  </si>
  <si>
    <t>Total Debt / EBITDA</t>
  </si>
  <si>
    <t>n/a</t>
  </si>
  <si>
    <t>Business Profile and Strategy</t>
  </si>
  <si>
    <t>July 2026 | Illustrative | Prepared for Portfolio Purposes</t>
  </si>
  <si>
    <t>FY2026E revenue (static value; source:PitchBook, pulled July 2026)</t>
  </si>
  <si>
    <t>Adjusted EBITDA proxy (static value; source:PitchBook, pulled July 2026)</t>
  </si>
  <si>
    <t>LEVERED TAX BUILD</t>
  </si>
  <si>
    <t>Less: Interest Expense</t>
  </si>
  <si>
    <t>EBT</t>
  </si>
  <si>
    <t>Levered Cash Taxes</t>
  </si>
  <si>
    <t>Levered Free Cash Flow (post tax shield)</t>
  </si>
  <si>
    <t>Memo: Annual Tax Shield Benefit</t>
  </si>
  <si>
    <t>Levered Free Cash Flow (from row 29)</t>
  </si>
  <si>
    <t>Unlevered Free Cash Flow (reference only — see Debt Schedule)</t>
  </si>
  <si>
    <t>Minimum Cash Balance</t>
  </si>
  <si>
    <t>Liquidity floor retained on balance sheet</t>
  </si>
  <si>
    <t>Cash to Balance Sheet</t>
  </si>
  <si>
    <t>Minimum liquidity funded at close</t>
  </si>
  <si>
    <t>Less : Net Debt (ending debt less cash)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</si>
</sst>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%"/>
    <numFmt numFmtId="166" formatCode="0.0\x"/>
    <numFmt numFmtId="167" formatCode="#,##0.0"/>
    <numFmt numFmtId="168" formatCode="0.0&quot;x&quot;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6"/>
      <color theme="0"/>
      <name val="Aptos Narrow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sz val="16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4"/>
      <color theme="0"/>
      <name val="Aptos Narrow"/>
      <scheme val="minor"/>
    </font>
    <font>
      <sz val="12"/>
      <color theme="0"/>
      <name val="Aptos Narrow"/>
      <scheme val="minor"/>
    </font>
    <font>
      <b/>
      <i/>
      <sz val="12"/>
      <color theme="1"/>
      <name val="Aptos Narrow"/>
      <scheme val="minor"/>
    </font>
    <font>
      <b/>
      <sz val="16"/>
      <color theme="0"/>
      <name val="Aptos Narrow (Body)"/>
    </font>
    <font>
      <sz val="12"/>
      <color rgb="FF0000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left"/>
    </xf>
    <xf numFmtId="0" fontId="0" fillId="2" borderId="0" xfId="0" applyFill="1"/>
    <xf numFmtId="0" fontId="5" fillId="0" borderId="0" xfId="0" applyFont="1"/>
    <xf numFmtId="0" fontId="4" fillId="2" borderId="0" xfId="0" applyFont="1" applyFill="1" applyAlignment="1">
      <alignment horizontal="center"/>
    </xf>
    <xf numFmtId="0" fontId="6" fillId="0" borderId="0" xfId="0" applyFont="1"/>
    <xf numFmtId="2" fontId="0" fillId="0" borderId="0" xfId="0" applyNumberFormat="1"/>
    <xf numFmtId="164" fontId="0" fillId="0" borderId="0" xfId="0" applyNumberFormat="1"/>
    <xf numFmtId="1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6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1" applyNumberFormat="1" applyFont="1" applyAlignment="1">
      <alignment horizontal="center"/>
    </xf>
    <xf numFmtId="0" fontId="9" fillId="0" borderId="0" xfId="0" applyFont="1"/>
    <xf numFmtId="165" fontId="0" fillId="0" borderId="0" xfId="1" applyNumberFormat="1" applyFont="1"/>
    <xf numFmtId="10" fontId="0" fillId="0" borderId="0" xfId="1" applyNumberFormat="1" applyFont="1"/>
    <xf numFmtId="0" fontId="6" fillId="2" borderId="0" xfId="0" applyFont="1" applyFill="1" applyAlignment="1">
      <alignment horizontal="left"/>
    </xf>
    <xf numFmtId="0" fontId="11" fillId="2" borderId="0" xfId="0" applyFont="1" applyFill="1"/>
    <xf numFmtId="0" fontId="14" fillId="2" borderId="0" xfId="0" applyFont="1" applyFill="1"/>
    <xf numFmtId="2" fontId="0" fillId="0" borderId="1" xfId="0" applyNumberFormat="1" applyBorder="1"/>
    <xf numFmtId="165" fontId="0" fillId="0" borderId="4" xfId="0" applyNumberForma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0" fillId="2" borderId="0" xfId="0" applyFont="1" applyFill="1" applyAlignment="1">
      <alignment vertical="center"/>
    </xf>
    <xf numFmtId="2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6" fontId="0" fillId="0" borderId="4" xfId="0" applyNumberFormat="1" applyBorder="1" applyAlignment="1">
      <alignment horizontal="center" vertical="center"/>
    </xf>
    <xf numFmtId="10" fontId="2" fillId="0" borderId="9" xfId="1" applyNumberFormat="1" applyFont="1" applyFill="1" applyBorder="1" applyAlignment="1">
      <alignment horizontal="center" vertical="center"/>
    </xf>
    <xf numFmtId="10" fontId="0" fillId="0" borderId="0" xfId="0" applyNumberFormat="1"/>
    <xf numFmtId="9" fontId="0" fillId="0" borderId="0" xfId="1" applyFont="1"/>
    <xf numFmtId="0" fontId="16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12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3" fillId="2" borderId="1" xfId="0" applyFont="1" applyFill="1" applyBorder="1" applyAlignment="1">
      <alignment horizontal="center"/>
    </xf>
    <xf numFmtId="0" fontId="8" fillId="0" borderId="0" xfId="0" applyFont="1" applyAlignment="1">
      <alignment horizontal="left" indent="63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1" fillId="2" borderId="0" xfId="0" applyFont="1" applyFill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13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2" borderId="0" xfId="0" applyFont="1" applyFill="1" applyAlignment="1">
      <alignment horizontal="left"/>
    </xf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0" xfId="0" applyFill="1" applyBorder="1" applyAlignment="1">
      <alignment horizontal="center"/>
    </xf>
    <xf numFmtId="2" fontId="17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0" fontId="17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9">
    <dxf>
      <fill>
        <patternFill patternType="solid">
          <fgColor indexed="64"/>
          <bgColor rgb="FF548235"/>
        </patternFill>
      </fill>
    </dxf>
    <dxf>
      <fill>
        <patternFill patternType="solid">
          <fgColor indexed="64"/>
          <bgColor rgb="FFA9D18E"/>
        </patternFill>
      </fill>
    </dxf>
    <dxf>
      <fill>
        <patternFill patternType="solid">
          <fgColor indexed="64"/>
          <bgColor rgb="FFFFD966"/>
        </patternFill>
      </fill>
    </dxf>
    <dxf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548235"/>
        </patternFill>
      </fill>
    </dxf>
    <dxf>
      <fill>
        <patternFill patternType="solid">
          <fgColor indexed="64"/>
          <bgColor rgb="FFA9D18E"/>
        </patternFill>
      </fill>
    </dxf>
    <dxf>
      <fill>
        <patternFill patternType="solid">
          <fgColor indexed="64"/>
          <bgColor rgb="FFFFD966"/>
        </patternFill>
      </fill>
    </dxf>
    <dxf>
      <fill>
        <patternFill patternType="solid">
          <fgColor indexed="64"/>
          <bgColor rgb="FFF4B183"/>
        </patternFill>
      </fill>
    </dxf>
    <dxf>
      <fill>
        <patternFill patternType="solid">
          <fgColor indexed="64"/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  <wetp:taskpane dockstate="right" visibility="0" width="35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298445C3-0617-A642-8A9C-B153FEBB67F1}">
  <we:reference id="wa200002663" version="1.8.0.0" store="en-US" storeType="OMEX"/>
  <we:alternateReferences>
    <we:reference id="WA200002663" version="1.8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PBF</we:customFunctionIds>
        <we:customFunctionIds>PBM</we:customFunctionIds>
        <we:customFunctionIds>PBD</we:customFunctionIds>
        <we:customFunctionIds>PBA</we:customFunctionIds>
        <we:customFunctionIds>PBS</we:customFunctionIds>
        <we:customFunctionIds>PBEQR</we:customFunctionIds>
        <we:customFunctionIds>PBIMAGE</we:customFunctionIds>
        <we:customFunctionIds>PBFS</we:customFunctionIds>
        <we:customFunctionIds>PBMATCHPBID</we:customFunctionIds>
        <we:customFunctionIds>PBMATCHSYMBOL</we:customFunctionIds>
        <we:customFunctionIds>PBR</we:customFunctionIds>
        <we:customFunctionIds>PBCHARTMARKET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55B7B896-B216-2D4A-86A2-671E3AA826F6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5c760cd0-0446-41e9-be68-7252ec662fb6&quot;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95DB482D-A27A-3B4F-8A53-6E8F58193DE0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e5758c9e-1e84-4ee6-a8e9-f0b9986aca3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A5FD7-0417-864D-859B-890B4F240935}">
  <dimension ref="A1:H22"/>
  <sheetViews>
    <sheetView showGridLines="0" topLeftCell="A17" workbookViewId="0">
      <selection activeCell="E10" sqref="E10"/>
    </sheetView>
  </sheetViews>
  <sheetFormatPr baseColWidth="10" defaultRowHeight="16" x14ac:dyDescent="0.2"/>
  <cols>
    <col min="2" max="2" width="51.5" customWidth="1"/>
    <col min="6" max="6" width="57.1640625" customWidth="1"/>
  </cols>
  <sheetData>
    <row r="1" spans="1:8" s="4" customFormat="1" ht="16" customHeight="1" x14ac:dyDescent="0.2">
      <c r="B1" s="41" t="s">
        <v>209</v>
      </c>
      <c r="C1" s="41"/>
      <c r="D1" s="41"/>
      <c r="E1" s="41"/>
      <c r="F1" s="41"/>
      <c r="G1" s="41"/>
      <c r="H1" s="41"/>
    </row>
    <row r="2" spans="1:8" s="4" customFormat="1" ht="16" customHeight="1" x14ac:dyDescent="0.2">
      <c r="A2" s="32"/>
      <c r="B2" s="41"/>
      <c r="C2" s="41"/>
      <c r="D2" s="41"/>
      <c r="E2" s="41"/>
      <c r="F2" s="41"/>
      <c r="G2" s="41"/>
      <c r="H2" s="41"/>
    </row>
    <row r="4" spans="1:8" s="25" customFormat="1" ht="19" x14ac:dyDescent="0.25">
      <c r="B4" s="42" t="s">
        <v>201</v>
      </c>
      <c r="C4" s="42"/>
      <c r="D4" s="42"/>
      <c r="E4" s="42"/>
      <c r="F4" s="42"/>
      <c r="G4" s="42"/>
      <c r="H4" s="42"/>
    </row>
    <row r="5" spans="1:8" x14ac:dyDescent="0.2">
      <c r="B5" s="45" t="s">
        <v>344</v>
      </c>
      <c r="C5" s="45"/>
      <c r="D5" s="45"/>
      <c r="E5" s="45"/>
      <c r="F5" s="45"/>
    </row>
    <row r="6" spans="1:8" x14ac:dyDescent="0.2">
      <c r="B6" s="43"/>
      <c r="C6" s="43"/>
      <c r="D6" s="43"/>
      <c r="E6" s="43"/>
      <c r="F6" s="43"/>
      <c r="G6" s="43"/>
      <c r="H6" s="43"/>
    </row>
    <row r="8" spans="1:8" ht="19" x14ac:dyDescent="0.25">
      <c r="B8" s="44" t="s">
        <v>93</v>
      </c>
      <c r="C8" s="44"/>
      <c r="D8" s="44"/>
      <c r="F8" s="44" t="s">
        <v>189</v>
      </c>
      <c r="G8" s="44"/>
      <c r="H8" s="44"/>
    </row>
    <row r="9" spans="1:8" x14ac:dyDescent="0.2">
      <c r="B9" s="46" t="s">
        <v>8</v>
      </c>
      <c r="C9" s="47"/>
      <c r="D9" s="27">
        <f>Assumptions!C15</f>
        <v>2282.5334349999998</v>
      </c>
      <c r="F9" s="53" t="s">
        <v>160</v>
      </c>
      <c r="G9" s="53"/>
      <c r="H9" s="27">
        <f>Returns!G12</f>
        <v>4172.9965768951979</v>
      </c>
    </row>
    <row r="10" spans="1:8" x14ac:dyDescent="0.2">
      <c r="B10" s="46" t="s">
        <v>3</v>
      </c>
      <c r="C10" s="47"/>
      <c r="D10" s="27">
        <f>Assumptions!C10</f>
        <v>716.65099999999995</v>
      </c>
      <c r="F10" s="53" t="s">
        <v>156</v>
      </c>
      <c r="G10" s="53"/>
      <c r="H10" s="27">
        <f>Returns!G14</f>
        <v>3847.9594048523713</v>
      </c>
    </row>
    <row r="11" spans="1:8" x14ac:dyDescent="0.2">
      <c r="B11" s="46" t="s">
        <v>4</v>
      </c>
      <c r="C11" s="47"/>
      <c r="D11" s="27">
        <f>Assumptions!C11</f>
        <v>185.14599999999999</v>
      </c>
      <c r="F11" s="53" t="s">
        <v>158</v>
      </c>
      <c r="G11" s="53"/>
      <c r="H11" s="27">
        <f>Returns!G17</f>
        <v>2.6611636856358412</v>
      </c>
    </row>
    <row r="12" spans="1:8" x14ac:dyDescent="0.2">
      <c r="B12" s="46" t="s">
        <v>202</v>
      </c>
      <c r="C12" s="47"/>
      <c r="D12" s="27">
        <f>Assumptions!C14</f>
        <v>12.328289214997893</v>
      </c>
      <c r="F12" s="53" t="s">
        <v>204</v>
      </c>
      <c r="G12" s="53"/>
      <c r="H12" s="27">
        <f>Returns!G18</f>
        <v>0.21622609614047961</v>
      </c>
    </row>
    <row r="13" spans="1:8" x14ac:dyDescent="0.2">
      <c r="B13" s="54" t="s">
        <v>203</v>
      </c>
      <c r="C13" s="55"/>
      <c r="D13" s="27">
        <f>Assumptions!C24</f>
        <v>925.7299999999999</v>
      </c>
      <c r="F13" s="54" t="s">
        <v>211</v>
      </c>
      <c r="G13" s="55"/>
      <c r="H13" s="27">
        <f>Assumptions!C24-'Debt Schedule'!G9</f>
        <v>575.69282795717334</v>
      </c>
    </row>
    <row r="14" spans="1:8" x14ac:dyDescent="0.2">
      <c r="B14" s="54" t="s">
        <v>210</v>
      </c>
      <c r="C14" s="55"/>
      <c r="D14" s="27">
        <f>'Sources and Uses '!C12</f>
        <v>1445.9687036999999</v>
      </c>
    </row>
    <row r="16" spans="1:8" ht="19" x14ac:dyDescent="0.25">
      <c r="B16" s="52" t="s">
        <v>205</v>
      </c>
      <c r="C16" s="52"/>
      <c r="D16" s="52"/>
      <c r="E16" s="21"/>
      <c r="F16" s="52" t="s">
        <v>207</v>
      </c>
      <c r="G16" s="52"/>
      <c r="H16" s="52"/>
    </row>
    <row r="17" spans="2:8" ht="298" customHeight="1" x14ac:dyDescent="0.25">
      <c r="B17" s="49" t="s">
        <v>206</v>
      </c>
      <c r="C17" s="50"/>
      <c r="D17" s="51"/>
      <c r="E17" s="5"/>
      <c r="F17" s="49" t="s">
        <v>208</v>
      </c>
      <c r="G17" s="50"/>
      <c r="H17" s="51"/>
    </row>
    <row r="19" spans="2:8" ht="16" customHeight="1" x14ac:dyDescent="0.2">
      <c r="B19" s="48" t="s">
        <v>212</v>
      </c>
      <c r="C19" s="48"/>
      <c r="D19" s="48"/>
      <c r="E19" s="48"/>
      <c r="F19" s="48"/>
      <c r="G19" s="48"/>
      <c r="H19" s="48"/>
    </row>
    <row r="20" spans="2:8" ht="16" customHeight="1" x14ac:dyDescent="0.2">
      <c r="B20" s="48"/>
      <c r="C20" s="48"/>
      <c r="D20" s="48"/>
      <c r="E20" s="48"/>
      <c r="F20" s="48"/>
      <c r="G20" s="48"/>
      <c r="H20" s="48"/>
    </row>
    <row r="21" spans="2:8" x14ac:dyDescent="0.2">
      <c r="B21" s="48"/>
      <c r="C21" s="48"/>
      <c r="D21" s="48"/>
      <c r="E21" s="48"/>
      <c r="F21" s="48"/>
      <c r="G21" s="48"/>
      <c r="H21" s="48"/>
    </row>
    <row r="22" spans="2:8" x14ac:dyDescent="0.2">
      <c r="B22" s="48"/>
      <c r="C22" s="48"/>
      <c r="D22" s="48"/>
      <c r="E22" s="48"/>
      <c r="F22" s="48"/>
      <c r="G22" s="48"/>
      <c r="H22" s="48"/>
    </row>
  </sheetData>
  <mergeCells count="22">
    <mergeCell ref="B9:C9"/>
    <mergeCell ref="B19:H22"/>
    <mergeCell ref="B17:D17"/>
    <mergeCell ref="B16:D16"/>
    <mergeCell ref="F17:H17"/>
    <mergeCell ref="F16:H16"/>
    <mergeCell ref="F9:G9"/>
    <mergeCell ref="F10:G10"/>
    <mergeCell ref="F11:G11"/>
    <mergeCell ref="F12:G12"/>
    <mergeCell ref="F13:G13"/>
    <mergeCell ref="B14:C14"/>
    <mergeCell ref="B10:C10"/>
    <mergeCell ref="B11:C11"/>
    <mergeCell ref="B12:C12"/>
    <mergeCell ref="B13:C13"/>
    <mergeCell ref="B1:H2"/>
    <mergeCell ref="B4:H4"/>
    <mergeCell ref="B6:H6"/>
    <mergeCell ref="B8:D8"/>
    <mergeCell ref="F8:H8"/>
    <mergeCell ref="B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AFB72-B866-B441-8C47-E8FA55EDA346}">
  <dimension ref="A1:K31"/>
  <sheetViews>
    <sheetView showGridLines="0" topLeftCell="E1" workbookViewId="0">
      <pane ySplit="3" topLeftCell="A4" activePane="bottomLeft" state="frozen"/>
      <selection pane="bottomLeft" activeCell="K10" sqref="K10"/>
    </sheetView>
  </sheetViews>
  <sheetFormatPr baseColWidth="10" defaultRowHeight="16" x14ac:dyDescent="0.2"/>
  <cols>
    <col min="1" max="1" width="39" customWidth="1"/>
    <col min="2" max="2" width="16" customWidth="1"/>
    <col min="3" max="4" width="10.83203125" style="1"/>
    <col min="5" max="5" width="25.6640625" style="1" customWidth="1"/>
    <col min="6" max="6" width="19.33203125" style="1" customWidth="1"/>
    <col min="7" max="7" width="32.6640625" style="1" customWidth="1"/>
    <col min="10" max="10" width="18.6640625" customWidth="1"/>
  </cols>
  <sheetData>
    <row r="1" spans="1:11" s="2" customFormat="1" ht="22" x14ac:dyDescent="0.3">
      <c r="A1" s="56" t="s">
        <v>31</v>
      </c>
      <c r="B1" s="56"/>
      <c r="C1" s="56"/>
      <c r="D1" s="56"/>
      <c r="E1" s="56"/>
      <c r="F1" s="56"/>
      <c r="G1" s="56"/>
      <c r="H1" s="56"/>
    </row>
    <row r="3" spans="1:11" s="4" customFormat="1" ht="22" x14ac:dyDescent="0.3">
      <c r="A3" s="3" t="s">
        <v>55</v>
      </c>
      <c r="B3" s="3" t="s">
        <v>58</v>
      </c>
      <c r="C3" s="6" t="s">
        <v>59</v>
      </c>
      <c r="D3" s="6" t="s">
        <v>60</v>
      </c>
      <c r="E3" s="6" t="s">
        <v>61</v>
      </c>
      <c r="F3" s="6" t="s">
        <v>62</v>
      </c>
      <c r="G3" s="6" t="s">
        <v>63</v>
      </c>
    </row>
    <row r="4" spans="1:11" ht="22" x14ac:dyDescent="0.3">
      <c r="A4" s="7" t="s">
        <v>32</v>
      </c>
      <c r="J4" s="14" t="s">
        <v>67</v>
      </c>
      <c r="K4" s="14" t="s">
        <v>59</v>
      </c>
    </row>
    <row r="5" spans="1:11" ht="19" x14ac:dyDescent="0.25">
      <c r="A5" s="5" t="s">
        <v>0</v>
      </c>
      <c r="B5" t="s">
        <v>64</v>
      </c>
      <c r="C5" s="11">
        <v>46205</v>
      </c>
      <c r="D5" s="1" t="s">
        <v>33</v>
      </c>
      <c r="E5" s="1" t="s">
        <v>24</v>
      </c>
      <c r="F5" s="1" t="s">
        <v>21</v>
      </c>
      <c r="G5" s="1" t="s">
        <v>34</v>
      </c>
      <c r="J5" s="15" t="s">
        <v>68</v>
      </c>
      <c r="K5" s="15">
        <f>C15</f>
        <v>2282.5334349999998</v>
      </c>
    </row>
    <row r="6" spans="1:11" ht="19" x14ac:dyDescent="0.25">
      <c r="A6" s="5" t="s">
        <v>1</v>
      </c>
      <c r="B6" t="s">
        <v>64</v>
      </c>
      <c r="C6" s="1" t="s">
        <v>56</v>
      </c>
      <c r="D6" s="1" t="s">
        <v>35</v>
      </c>
      <c r="E6" s="1" t="s">
        <v>24</v>
      </c>
      <c r="F6" s="1" t="s">
        <v>21</v>
      </c>
      <c r="G6" s="1" t="s">
        <v>36</v>
      </c>
      <c r="J6" s="15" t="s">
        <v>7</v>
      </c>
      <c r="K6" s="15">
        <f>C14</f>
        <v>12.328289214997893</v>
      </c>
    </row>
    <row r="7" spans="1:11" ht="19" x14ac:dyDescent="0.25">
      <c r="A7" s="5" t="s">
        <v>25</v>
      </c>
      <c r="B7" t="s">
        <v>64</v>
      </c>
      <c r="C7" s="1" t="s">
        <v>38</v>
      </c>
      <c r="D7" s="1" t="s">
        <v>35</v>
      </c>
      <c r="E7" s="1" t="s">
        <v>24</v>
      </c>
      <c r="F7" s="1" t="s">
        <v>21</v>
      </c>
      <c r="G7" s="1" t="s">
        <v>37</v>
      </c>
      <c r="J7" s="15" t="s">
        <v>69</v>
      </c>
      <c r="K7" s="16">
        <f>'Sources and Uses '!C16</f>
        <v>0.39032361005881672</v>
      </c>
    </row>
    <row r="8" spans="1:11" ht="19" x14ac:dyDescent="0.25">
      <c r="A8" s="5"/>
      <c r="J8" s="15" t="s">
        <v>70</v>
      </c>
      <c r="K8" s="16">
        <f>'Sources and Uses '!C17</f>
        <v>0.60967638994118323</v>
      </c>
    </row>
    <row r="9" spans="1:11" ht="22" x14ac:dyDescent="0.3">
      <c r="A9" s="7" t="s">
        <v>2</v>
      </c>
    </row>
    <row r="10" spans="1:11" ht="19" x14ac:dyDescent="0.25">
      <c r="A10" s="5" t="s">
        <v>3</v>
      </c>
      <c r="B10" t="s">
        <v>64</v>
      </c>
      <c r="C10" s="65">
        <v>716.65099999999995</v>
      </c>
      <c r="D10" s="1" t="s">
        <v>38</v>
      </c>
      <c r="E10" s="1" t="s">
        <v>23</v>
      </c>
      <c r="F10" s="1" t="s">
        <v>21</v>
      </c>
      <c r="G10" s="1" t="s">
        <v>345</v>
      </c>
      <c r="J10" s="64" t="s">
        <v>289</v>
      </c>
      <c r="K10">
        <f>C14</f>
        <v>12.328289214997893</v>
      </c>
    </row>
    <row r="11" spans="1:11" ht="19" x14ac:dyDescent="0.25">
      <c r="A11" s="5" t="s">
        <v>4</v>
      </c>
      <c r="B11" t="s">
        <v>64</v>
      </c>
      <c r="C11" s="65">
        <v>185.14599999999999</v>
      </c>
      <c r="D11" s="1" t="s">
        <v>38</v>
      </c>
      <c r="E11" s="1" t="s">
        <v>23</v>
      </c>
      <c r="F11" s="1" t="s">
        <v>21</v>
      </c>
      <c r="G11" s="1" t="s">
        <v>346</v>
      </c>
      <c r="J11" s="64" t="s">
        <v>339</v>
      </c>
      <c r="K11">
        <v>5</v>
      </c>
    </row>
    <row r="12" spans="1:11" ht="19" x14ac:dyDescent="0.25">
      <c r="A12" s="5" t="s">
        <v>5</v>
      </c>
      <c r="B12" t="s">
        <v>64</v>
      </c>
      <c r="C12" s="13">
        <f>C11/C10</f>
        <v>0.25834890344114497</v>
      </c>
      <c r="D12" s="1" t="s">
        <v>39</v>
      </c>
      <c r="E12" s="1" t="s">
        <v>26</v>
      </c>
      <c r="F12" s="1" t="s">
        <v>21</v>
      </c>
      <c r="G12" s="1" t="s">
        <v>40</v>
      </c>
    </row>
    <row r="13" spans="1:11" ht="19" x14ac:dyDescent="0.25">
      <c r="A13" s="5" t="s">
        <v>6</v>
      </c>
      <c r="B13" t="s">
        <v>64</v>
      </c>
      <c r="C13" s="12">
        <v>3.1850000000000001</v>
      </c>
      <c r="D13" s="1" t="s">
        <v>41</v>
      </c>
      <c r="E13" s="1" t="s">
        <v>65</v>
      </c>
      <c r="F13" s="1" t="s">
        <v>30</v>
      </c>
      <c r="G13" s="1" t="s">
        <v>42</v>
      </c>
    </row>
    <row r="14" spans="1:11" ht="19" x14ac:dyDescent="0.25">
      <c r="A14" s="5" t="s">
        <v>7</v>
      </c>
      <c r="B14" t="s">
        <v>64</v>
      </c>
      <c r="C14" s="12">
        <f>C15/C11</f>
        <v>12.328289214997893</v>
      </c>
      <c r="D14" s="1" t="s">
        <v>41</v>
      </c>
      <c r="E14" s="1" t="s">
        <v>26</v>
      </c>
      <c r="F14" s="1" t="s">
        <v>21</v>
      </c>
      <c r="G14" s="1" t="s">
        <v>43</v>
      </c>
    </row>
    <row r="15" spans="1:11" ht="19" x14ac:dyDescent="0.25">
      <c r="A15" s="5" t="s">
        <v>8</v>
      </c>
      <c r="B15" t="s">
        <v>64</v>
      </c>
      <c r="C15" s="12">
        <f>C10*C13</f>
        <v>2282.5334349999998</v>
      </c>
      <c r="D15" s="1" t="s">
        <v>38</v>
      </c>
      <c r="E15" s="1" t="s">
        <v>26</v>
      </c>
      <c r="F15" s="1" t="s">
        <v>21</v>
      </c>
      <c r="G15" s="1" t="s">
        <v>44</v>
      </c>
    </row>
    <row r="16" spans="1:11" ht="19" x14ac:dyDescent="0.25">
      <c r="A16" s="5"/>
    </row>
    <row r="17" spans="1:7" ht="22" x14ac:dyDescent="0.3">
      <c r="A17" s="7" t="s">
        <v>9</v>
      </c>
    </row>
    <row r="18" spans="1:7" ht="19" x14ac:dyDescent="0.25">
      <c r="A18" s="5" t="s">
        <v>10</v>
      </c>
      <c r="B18" t="s">
        <v>64</v>
      </c>
      <c r="C18" s="12">
        <f>C15</f>
        <v>2282.5334349999998</v>
      </c>
      <c r="D18" s="1" t="s">
        <v>38</v>
      </c>
      <c r="E18" s="1" t="s">
        <v>26</v>
      </c>
      <c r="F18" s="1" t="s">
        <v>21</v>
      </c>
      <c r="G18" s="1" t="s">
        <v>45</v>
      </c>
    </row>
    <row r="19" spans="1:7" ht="19" x14ac:dyDescent="0.25">
      <c r="A19" s="5" t="s">
        <v>11</v>
      </c>
      <c r="B19" t="s">
        <v>64</v>
      </c>
      <c r="C19" s="13">
        <v>0.02</v>
      </c>
      <c r="D19" s="1" t="s">
        <v>46</v>
      </c>
      <c r="E19" s="1" t="s">
        <v>27</v>
      </c>
      <c r="F19" s="1" t="s">
        <v>22</v>
      </c>
      <c r="G19" s="1" t="s">
        <v>57</v>
      </c>
    </row>
    <row r="20" spans="1:7" ht="19" x14ac:dyDescent="0.25">
      <c r="A20" s="5" t="s">
        <v>12</v>
      </c>
      <c r="B20" t="s">
        <v>64</v>
      </c>
      <c r="C20" s="13">
        <v>0.02</v>
      </c>
      <c r="D20" s="1" t="s">
        <v>47</v>
      </c>
      <c r="E20" s="1" t="s">
        <v>29</v>
      </c>
      <c r="F20" s="1" t="s">
        <v>22</v>
      </c>
      <c r="G20" s="1" t="s">
        <v>48</v>
      </c>
    </row>
    <row r="21" spans="1:7" ht="19" x14ac:dyDescent="0.25">
      <c r="A21" s="5"/>
    </row>
    <row r="22" spans="1:7" ht="22" x14ac:dyDescent="0.3">
      <c r="A22" s="7" t="s">
        <v>13</v>
      </c>
    </row>
    <row r="23" spans="1:7" ht="19" x14ac:dyDescent="0.25">
      <c r="A23" s="5" t="s">
        <v>14</v>
      </c>
      <c r="B23" t="s">
        <v>64</v>
      </c>
      <c r="C23" s="1">
        <v>5</v>
      </c>
      <c r="D23" s="1" t="s">
        <v>41</v>
      </c>
      <c r="E23" s="1" t="s">
        <v>28</v>
      </c>
      <c r="F23" s="1" t="s">
        <v>30</v>
      </c>
      <c r="G23" s="1" t="s">
        <v>49</v>
      </c>
    </row>
    <row r="24" spans="1:7" ht="19" x14ac:dyDescent="0.25">
      <c r="A24" s="5" t="s">
        <v>15</v>
      </c>
      <c r="B24" t="s">
        <v>64</v>
      </c>
      <c r="C24" s="1">
        <f>C11*C23</f>
        <v>925.7299999999999</v>
      </c>
      <c r="D24" s="1" t="s">
        <v>38</v>
      </c>
      <c r="E24" s="1" t="s">
        <v>26</v>
      </c>
      <c r="F24" s="1" t="s">
        <v>21</v>
      </c>
      <c r="G24" s="1" t="s">
        <v>50</v>
      </c>
    </row>
    <row r="25" spans="1:7" ht="19" x14ac:dyDescent="0.25">
      <c r="A25" s="5" t="s">
        <v>16</v>
      </c>
      <c r="B25" t="s">
        <v>64</v>
      </c>
      <c r="C25" s="10">
        <v>9.5000000000000001E-2</v>
      </c>
      <c r="D25" s="1" t="s">
        <v>39</v>
      </c>
      <c r="E25" s="1" t="s">
        <v>29</v>
      </c>
      <c r="F25" s="1" t="s">
        <v>22</v>
      </c>
      <c r="G25" s="1" t="s">
        <v>51</v>
      </c>
    </row>
    <row r="26" spans="1:7" ht="19" x14ac:dyDescent="0.25">
      <c r="A26" s="5" t="s">
        <v>17</v>
      </c>
      <c r="B26" t="s">
        <v>64</v>
      </c>
      <c r="C26" s="12">
        <f>'Sources and Uses '!C12</f>
        <v>1445.9687036999999</v>
      </c>
      <c r="D26" s="1" t="s">
        <v>38</v>
      </c>
      <c r="E26" s="1" t="s">
        <v>26</v>
      </c>
      <c r="F26" s="1" t="s">
        <v>21</v>
      </c>
      <c r="G26" s="1" t="s">
        <v>52</v>
      </c>
    </row>
    <row r="27" spans="1:7" ht="19" x14ac:dyDescent="0.25">
      <c r="A27" s="5" t="s">
        <v>355</v>
      </c>
      <c r="B27" t="s">
        <v>64</v>
      </c>
      <c r="C27" s="67">
        <v>25</v>
      </c>
      <c r="D27" s="1" t="s">
        <v>38</v>
      </c>
      <c r="E27" s="1" t="s">
        <v>313</v>
      </c>
      <c r="F27" s="1" t="s">
        <v>22</v>
      </c>
      <c r="G27" s="1" t="s">
        <v>356</v>
      </c>
    </row>
    <row r="29" spans="1:7" ht="22" x14ac:dyDescent="0.3">
      <c r="A29" s="7" t="s">
        <v>18</v>
      </c>
    </row>
    <row r="30" spans="1:7" ht="19" x14ac:dyDescent="0.25">
      <c r="A30" s="5" t="s">
        <v>19</v>
      </c>
      <c r="B30" t="s">
        <v>64</v>
      </c>
      <c r="C30" s="1">
        <f>'Sources and Uses '!C25</f>
        <v>0</v>
      </c>
      <c r="D30" s="1" t="s">
        <v>38</v>
      </c>
      <c r="E30" s="1" t="s">
        <v>26</v>
      </c>
      <c r="F30" s="1" t="s">
        <v>21</v>
      </c>
      <c r="G30" s="1" t="s">
        <v>53</v>
      </c>
    </row>
    <row r="31" spans="1:7" ht="19" x14ac:dyDescent="0.25">
      <c r="A31" s="5" t="s">
        <v>20</v>
      </c>
      <c r="B31" t="s">
        <v>64</v>
      </c>
      <c r="C31" s="1" t="str">
        <f>IF(ABS(C30)&lt;0.01,"OK","ERROR")</f>
        <v>OK</v>
      </c>
      <c r="D31" s="1" t="s">
        <v>35</v>
      </c>
      <c r="E31" s="1" t="s">
        <v>26</v>
      </c>
      <c r="F31" s="1" t="s">
        <v>21</v>
      </c>
      <c r="G31" s="1" t="s">
        <v>54</v>
      </c>
    </row>
  </sheetData>
  <mergeCells count="1">
    <mergeCell ref="A1:H1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A5806-D15E-7A42-A4DC-ACD97F14F01C}">
  <dimension ref="A1:I56"/>
  <sheetViews>
    <sheetView showGridLines="0" workbookViewId="0">
      <selection activeCell="I29" sqref="I29"/>
    </sheetView>
  </sheetViews>
  <sheetFormatPr baseColWidth="10" defaultRowHeight="16" x14ac:dyDescent="0.2"/>
  <cols>
    <col min="1" max="1" width="37" customWidth="1"/>
    <col min="2" max="2" width="16.5" style="1" customWidth="1"/>
    <col min="4" max="4" width="25.1640625" customWidth="1"/>
    <col min="5" max="5" width="32.1640625" customWidth="1"/>
    <col min="6" max="6" width="23" customWidth="1"/>
  </cols>
  <sheetData>
    <row r="1" spans="1:9" s="4" customFormat="1" ht="22" x14ac:dyDescent="0.3">
      <c r="A1" s="56" t="s">
        <v>336</v>
      </c>
      <c r="B1" s="56"/>
      <c r="C1" s="56"/>
      <c r="D1" s="56"/>
      <c r="E1" s="56"/>
      <c r="F1" s="56"/>
      <c r="G1" s="56"/>
    </row>
    <row r="3" spans="1:9" s="18" customFormat="1" x14ac:dyDescent="0.2">
      <c r="A3" s="18" t="s">
        <v>218</v>
      </c>
      <c r="B3" s="18" t="s">
        <v>219</v>
      </c>
      <c r="C3" s="18" t="s">
        <v>220</v>
      </c>
      <c r="D3" s="18" t="s">
        <v>221</v>
      </c>
      <c r="E3" s="18" t="s">
        <v>337</v>
      </c>
      <c r="F3" s="18" t="s">
        <v>222</v>
      </c>
    </row>
    <row r="4" spans="1:9" x14ac:dyDescent="0.2">
      <c r="C4" s="9"/>
      <c r="D4" s="9"/>
      <c r="E4" s="9"/>
      <c r="F4" s="9"/>
      <c r="G4" s="9"/>
      <c r="H4" s="9"/>
      <c r="I4" s="9"/>
    </row>
    <row r="5" spans="1:9" ht="22" x14ac:dyDescent="0.3">
      <c r="A5" s="60" t="s">
        <v>223</v>
      </c>
      <c r="B5" s="60"/>
      <c r="C5" s="60"/>
      <c r="D5" s="60"/>
      <c r="E5" s="9"/>
      <c r="F5" s="9"/>
      <c r="G5" s="9"/>
      <c r="H5" s="9"/>
      <c r="I5" s="9"/>
    </row>
    <row r="6" spans="1:9" x14ac:dyDescent="0.2">
      <c r="A6" s="19" t="s">
        <v>224</v>
      </c>
      <c r="B6" s="1" t="s">
        <v>332</v>
      </c>
      <c r="C6" s="34" t="s">
        <v>226</v>
      </c>
      <c r="D6" s="34" t="s">
        <v>227</v>
      </c>
      <c r="E6" s="34" t="s">
        <v>228</v>
      </c>
      <c r="F6" s="34" t="s">
        <v>230</v>
      </c>
      <c r="G6" s="9"/>
      <c r="H6" s="9"/>
      <c r="I6" s="9"/>
    </row>
    <row r="7" spans="1:9" x14ac:dyDescent="0.2">
      <c r="A7" s="19" t="s">
        <v>66</v>
      </c>
      <c r="B7" s="1" t="s">
        <v>247</v>
      </c>
      <c r="C7" s="34" t="s">
        <v>226</v>
      </c>
      <c r="D7" s="34" t="s">
        <v>227</v>
      </c>
      <c r="E7" s="34" t="s">
        <v>228</v>
      </c>
      <c r="F7" s="34" t="s">
        <v>334</v>
      </c>
      <c r="G7" s="9"/>
      <c r="H7" s="9"/>
      <c r="I7" s="9"/>
    </row>
    <row r="8" spans="1:9" x14ac:dyDescent="0.2">
      <c r="A8" s="19" t="s">
        <v>213</v>
      </c>
      <c r="B8" s="1" t="s">
        <v>214</v>
      </c>
      <c r="C8" s="34" t="s">
        <v>226</v>
      </c>
      <c r="D8" s="34" t="s">
        <v>227</v>
      </c>
      <c r="E8" s="34" t="s">
        <v>228</v>
      </c>
      <c r="F8" s="34" t="s">
        <v>231</v>
      </c>
      <c r="G8" s="9"/>
      <c r="H8" s="9"/>
      <c r="I8" s="9"/>
    </row>
    <row r="9" spans="1:9" x14ac:dyDescent="0.2">
      <c r="A9" s="19" t="s">
        <v>215</v>
      </c>
      <c r="B9" s="1" t="s">
        <v>216</v>
      </c>
      <c r="C9" s="34" t="s">
        <v>226</v>
      </c>
      <c r="D9" s="34" t="s">
        <v>227</v>
      </c>
      <c r="E9" s="34" t="s">
        <v>228</v>
      </c>
      <c r="F9" s="34" t="s">
        <v>333</v>
      </c>
    </row>
    <row r="10" spans="1:9" x14ac:dyDescent="0.2">
      <c r="A10" s="19" t="s">
        <v>217</v>
      </c>
      <c r="B10" s="1" t="s">
        <v>225</v>
      </c>
      <c r="C10" s="34" t="s">
        <v>226</v>
      </c>
      <c r="D10" s="34" t="s">
        <v>227</v>
      </c>
      <c r="E10" s="34" t="s">
        <v>228</v>
      </c>
      <c r="F10" s="12" t="s">
        <v>232</v>
      </c>
      <c r="G10" s="8"/>
      <c r="H10" s="8"/>
      <c r="I10" s="8"/>
    </row>
    <row r="11" spans="1:9" x14ac:dyDescent="0.2">
      <c r="A11" s="19" t="s">
        <v>1</v>
      </c>
      <c r="B11" s="1" t="s">
        <v>56</v>
      </c>
      <c r="C11" s="34" t="s">
        <v>226</v>
      </c>
      <c r="D11" s="34" t="s">
        <v>24</v>
      </c>
      <c r="E11" s="34" t="s">
        <v>229</v>
      </c>
      <c r="F11" s="12" t="s">
        <v>335</v>
      </c>
      <c r="G11" s="8"/>
      <c r="H11" s="8"/>
      <c r="I11" s="8"/>
    </row>
    <row r="13" spans="1:9" ht="22" x14ac:dyDescent="0.3">
      <c r="A13" s="17" t="s">
        <v>233</v>
      </c>
    </row>
    <row r="14" spans="1:9" x14ac:dyDescent="0.2">
      <c r="A14" s="19" t="s">
        <v>268</v>
      </c>
      <c r="B14" s="1">
        <v>716.65099999999995</v>
      </c>
      <c r="C14" s="34" t="s">
        <v>269</v>
      </c>
      <c r="D14" s="34" t="s">
        <v>270</v>
      </c>
      <c r="E14" s="34" t="s">
        <v>271</v>
      </c>
      <c r="F14" s="34" t="s">
        <v>272</v>
      </c>
    </row>
    <row r="15" spans="1:9" x14ac:dyDescent="0.2">
      <c r="A15" s="19" t="s">
        <v>118</v>
      </c>
      <c r="B15" s="1">
        <v>185.14599999999999</v>
      </c>
      <c r="C15" s="34" t="s">
        <v>269</v>
      </c>
      <c r="D15" s="34" t="s">
        <v>270</v>
      </c>
      <c r="E15" s="34" t="s">
        <v>273</v>
      </c>
      <c r="F15" s="34" t="s">
        <v>274</v>
      </c>
    </row>
    <row r="16" spans="1:9" x14ac:dyDescent="0.2">
      <c r="A16" s="19" t="s">
        <v>5</v>
      </c>
      <c r="B16" s="1">
        <v>0.25834890344114497</v>
      </c>
      <c r="C16" s="34" t="s">
        <v>269</v>
      </c>
      <c r="D16" s="34" t="s">
        <v>275</v>
      </c>
      <c r="E16" s="34" t="s">
        <v>40</v>
      </c>
      <c r="F16" s="34" t="s">
        <v>276</v>
      </c>
    </row>
    <row r="17" spans="1:6" x14ac:dyDescent="0.2">
      <c r="A17" s="19" t="s">
        <v>277</v>
      </c>
      <c r="B17" s="1">
        <v>3.1850000000000001</v>
      </c>
      <c r="C17" s="34" t="s">
        <v>269</v>
      </c>
      <c r="D17" s="34" t="s">
        <v>227</v>
      </c>
      <c r="E17" s="34" t="s">
        <v>278</v>
      </c>
      <c r="F17" s="34" t="s">
        <v>279</v>
      </c>
    </row>
    <row r="18" spans="1:6" x14ac:dyDescent="0.2">
      <c r="A18" s="19" t="s">
        <v>280</v>
      </c>
      <c r="B18" s="1">
        <v>12.3282892149979</v>
      </c>
      <c r="C18" s="34" t="s">
        <v>269</v>
      </c>
      <c r="D18" s="34" t="s">
        <v>227</v>
      </c>
      <c r="E18" s="34" t="s">
        <v>281</v>
      </c>
      <c r="F18" s="34" t="s">
        <v>279</v>
      </c>
    </row>
    <row r="19" spans="1:6" x14ac:dyDescent="0.2">
      <c r="A19" s="19" t="s">
        <v>282</v>
      </c>
      <c r="B19" s="1">
        <v>2282.5334349999998</v>
      </c>
      <c r="C19" s="34" t="s">
        <v>283</v>
      </c>
      <c r="D19" s="34" t="s">
        <v>275</v>
      </c>
      <c r="E19" s="34" t="s">
        <v>284</v>
      </c>
      <c r="F19" s="34" t="s">
        <v>285</v>
      </c>
    </row>
    <row r="21" spans="1:6" ht="22" x14ac:dyDescent="0.3">
      <c r="A21" s="7" t="s">
        <v>234</v>
      </c>
    </row>
    <row r="22" spans="1:6" x14ac:dyDescent="0.2">
      <c r="A22" s="19" t="s">
        <v>6</v>
      </c>
      <c r="B22" s="1">
        <v>3.1850000000000001</v>
      </c>
      <c r="C22" s="34" t="s">
        <v>283</v>
      </c>
      <c r="D22" s="34" t="s">
        <v>286</v>
      </c>
      <c r="E22" s="34" t="s">
        <v>287</v>
      </c>
      <c r="F22" s="34" t="s">
        <v>288</v>
      </c>
    </row>
    <row r="23" spans="1:6" x14ac:dyDescent="0.2">
      <c r="A23" s="19" t="s">
        <v>7</v>
      </c>
      <c r="B23" s="1">
        <v>12.3282892149979</v>
      </c>
      <c r="C23" s="34" t="s">
        <v>283</v>
      </c>
      <c r="D23" s="34" t="s">
        <v>286</v>
      </c>
      <c r="E23" s="34" t="s">
        <v>287</v>
      </c>
      <c r="F23" s="34" t="s">
        <v>288</v>
      </c>
    </row>
    <row r="24" spans="1:6" x14ac:dyDescent="0.2">
      <c r="A24" s="19" t="s">
        <v>289</v>
      </c>
      <c r="B24" s="1">
        <v>12.3282892149979</v>
      </c>
      <c r="C24" s="34" t="s">
        <v>290</v>
      </c>
      <c r="D24" s="34" t="s">
        <v>286</v>
      </c>
      <c r="E24" s="34" t="s">
        <v>291</v>
      </c>
      <c r="F24" s="34" t="s">
        <v>292</v>
      </c>
    </row>
    <row r="25" spans="1:6" x14ac:dyDescent="0.2">
      <c r="A25" s="19" t="s">
        <v>293</v>
      </c>
      <c r="B25" s="1" t="s">
        <v>294</v>
      </c>
      <c r="C25" s="34" t="s">
        <v>295</v>
      </c>
      <c r="D25" s="34" t="s">
        <v>286</v>
      </c>
      <c r="E25" s="34" t="s">
        <v>296</v>
      </c>
      <c r="F25" s="34" t="s">
        <v>297</v>
      </c>
    </row>
    <row r="26" spans="1:6" x14ac:dyDescent="0.2">
      <c r="A26" s="19" t="s">
        <v>298</v>
      </c>
      <c r="B26" s="1">
        <v>0.3</v>
      </c>
      <c r="C26" s="34" t="s">
        <v>283</v>
      </c>
      <c r="D26" s="34" t="s">
        <v>299</v>
      </c>
      <c r="E26" s="34" t="s">
        <v>300</v>
      </c>
      <c r="F26" s="34" t="s">
        <v>301</v>
      </c>
    </row>
    <row r="28" spans="1:6" ht="22" x14ac:dyDescent="0.3">
      <c r="A28" s="7" t="s">
        <v>235</v>
      </c>
    </row>
    <row r="29" spans="1:6" x14ac:dyDescent="0.2">
      <c r="A29" s="19" t="s">
        <v>14</v>
      </c>
      <c r="B29" s="1">
        <v>5</v>
      </c>
      <c r="C29" s="34" t="s">
        <v>283</v>
      </c>
      <c r="D29" s="34" t="s">
        <v>302</v>
      </c>
      <c r="E29" s="34" t="s">
        <v>303</v>
      </c>
      <c r="F29" s="34" t="s">
        <v>304</v>
      </c>
    </row>
    <row r="30" spans="1:6" x14ac:dyDescent="0.2">
      <c r="A30" s="19" t="s">
        <v>305</v>
      </c>
      <c r="B30" s="1">
        <v>9.5000000000000001E-2</v>
      </c>
      <c r="C30" s="34" t="s">
        <v>283</v>
      </c>
      <c r="D30" s="34" t="s">
        <v>302</v>
      </c>
      <c r="E30" s="34" t="s">
        <v>306</v>
      </c>
      <c r="F30" s="34" t="s">
        <v>307</v>
      </c>
    </row>
    <row r="31" spans="1:6" x14ac:dyDescent="0.2">
      <c r="A31" s="19" t="s">
        <v>11</v>
      </c>
      <c r="B31" s="1">
        <v>0.02</v>
      </c>
      <c r="C31" s="34" t="s">
        <v>283</v>
      </c>
      <c r="D31" s="34" t="s">
        <v>299</v>
      </c>
      <c r="E31" s="34" t="s">
        <v>308</v>
      </c>
      <c r="F31" s="34" t="s">
        <v>309</v>
      </c>
    </row>
    <row r="32" spans="1:6" x14ac:dyDescent="0.2">
      <c r="A32" s="19" t="s">
        <v>12</v>
      </c>
      <c r="B32" s="1">
        <v>0.02</v>
      </c>
      <c r="C32" s="34" t="s">
        <v>283</v>
      </c>
      <c r="D32" s="34" t="s">
        <v>299</v>
      </c>
      <c r="E32" s="34" t="s">
        <v>310</v>
      </c>
      <c r="F32" s="34" t="s">
        <v>311</v>
      </c>
    </row>
    <row r="33" spans="1:6" x14ac:dyDescent="0.2">
      <c r="A33" s="19" t="s">
        <v>148</v>
      </c>
      <c r="B33" s="1">
        <v>0.01</v>
      </c>
      <c r="C33" s="34" t="s">
        <v>312</v>
      </c>
      <c r="D33" s="34" t="s">
        <v>313</v>
      </c>
      <c r="E33" s="34" t="s">
        <v>314</v>
      </c>
      <c r="F33" s="34" t="s">
        <v>315</v>
      </c>
    </row>
    <row r="35" spans="1:6" ht="22" x14ac:dyDescent="0.3">
      <c r="A35" s="7" t="s">
        <v>236</v>
      </c>
    </row>
    <row r="36" spans="1:6" s="18" customFormat="1" x14ac:dyDescent="0.2">
      <c r="A36" s="18" t="s">
        <v>237</v>
      </c>
      <c r="B36" s="18" t="s">
        <v>238</v>
      </c>
      <c r="C36" s="18" t="s">
        <v>239</v>
      </c>
      <c r="D36" s="59" t="s">
        <v>240</v>
      </c>
      <c r="E36" s="59"/>
    </row>
    <row r="37" spans="1:6" x14ac:dyDescent="0.2">
      <c r="A37" t="s">
        <v>245</v>
      </c>
      <c r="B37" s="1" t="s">
        <v>247</v>
      </c>
      <c r="C37" s="1" t="s">
        <v>227</v>
      </c>
      <c r="D37" s="43" t="s">
        <v>230</v>
      </c>
      <c r="E37" s="43"/>
    </row>
    <row r="38" spans="1:6" x14ac:dyDescent="0.2">
      <c r="A38" t="s">
        <v>241</v>
      </c>
      <c r="B38" s="1" t="s">
        <v>248</v>
      </c>
      <c r="C38" s="1" t="s">
        <v>227</v>
      </c>
      <c r="D38" s="43" t="s">
        <v>252</v>
      </c>
      <c r="E38" s="43"/>
    </row>
    <row r="39" spans="1:6" x14ac:dyDescent="0.2">
      <c r="A39" t="s">
        <v>242</v>
      </c>
      <c r="B39" s="1" t="s">
        <v>249</v>
      </c>
      <c r="C39" s="1" t="s">
        <v>227</v>
      </c>
      <c r="D39" s="43" t="s">
        <v>253</v>
      </c>
      <c r="E39" s="43"/>
    </row>
    <row r="40" spans="1:6" x14ac:dyDescent="0.2">
      <c r="A40" t="s">
        <v>243</v>
      </c>
      <c r="B40" s="1" t="s">
        <v>250</v>
      </c>
      <c r="C40" s="1" t="s">
        <v>227</v>
      </c>
      <c r="D40" s="43" t="s">
        <v>254</v>
      </c>
      <c r="E40" s="43"/>
    </row>
    <row r="41" spans="1:6" x14ac:dyDescent="0.2">
      <c r="A41" t="s">
        <v>244</v>
      </c>
      <c r="B41" s="1" t="s">
        <v>251</v>
      </c>
      <c r="C41" s="1" t="s">
        <v>227</v>
      </c>
      <c r="D41" s="43" t="s">
        <v>255</v>
      </c>
      <c r="E41" s="43"/>
    </row>
    <row r="43" spans="1:6" ht="22" x14ac:dyDescent="0.3">
      <c r="A43" s="7" t="s">
        <v>256</v>
      </c>
    </row>
    <row r="44" spans="1:6" s="2" customFormat="1" x14ac:dyDescent="0.2">
      <c r="A44" s="2" t="s">
        <v>61</v>
      </c>
      <c r="B44" s="59" t="s">
        <v>267</v>
      </c>
      <c r="C44" s="59"/>
      <c r="D44" s="59"/>
    </row>
    <row r="45" spans="1:6" x14ac:dyDescent="0.2">
      <c r="A45" t="s">
        <v>227</v>
      </c>
      <c r="B45" s="43" t="s">
        <v>262</v>
      </c>
      <c r="C45" s="43"/>
      <c r="D45" s="43"/>
    </row>
    <row r="46" spans="1:6" x14ac:dyDescent="0.2">
      <c r="A46" t="s">
        <v>257</v>
      </c>
      <c r="B46" s="43" t="s">
        <v>263</v>
      </c>
      <c r="C46" s="43"/>
      <c r="D46" s="43"/>
    </row>
    <row r="47" spans="1:6" x14ac:dyDescent="0.2">
      <c r="A47" t="s">
        <v>258</v>
      </c>
      <c r="B47" s="43" t="s">
        <v>343</v>
      </c>
      <c r="C47" s="43"/>
      <c r="D47" s="43"/>
    </row>
    <row r="48" spans="1:6" x14ac:dyDescent="0.2">
      <c r="A48" t="s">
        <v>259</v>
      </c>
      <c r="B48" s="43" t="s">
        <v>264</v>
      </c>
      <c r="C48" s="43"/>
      <c r="D48" s="43"/>
    </row>
    <row r="49" spans="1:5" x14ac:dyDescent="0.2">
      <c r="A49" t="s">
        <v>260</v>
      </c>
      <c r="B49" s="43" t="s">
        <v>265</v>
      </c>
      <c r="C49" s="43"/>
      <c r="D49" s="43"/>
    </row>
    <row r="50" spans="1:5" x14ac:dyDescent="0.2">
      <c r="A50" t="s">
        <v>261</v>
      </c>
      <c r="B50" s="43" t="s">
        <v>266</v>
      </c>
      <c r="C50" s="43"/>
      <c r="D50" s="43"/>
    </row>
    <row r="55" spans="1:5" x14ac:dyDescent="0.2">
      <c r="A55" s="57" t="s">
        <v>316</v>
      </c>
      <c r="B55" s="58"/>
      <c r="C55" s="58"/>
      <c r="D55" s="58"/>
      <c r="E55" s="58"/>
    </row>
    <row r="56" spans="1:5" x14ac:dyDescent="0.2">
      <c r="A56" s="58"/>
      <c r="B56" s="58"/>
      <c r="C56" s="58"/>
      <c r="D56" s="58"/>
      <c r="E56" s="58"/>
    </row>
  </sheetData>
  <mergeCells count="16">
    <mergeCell ref="A1:G1"/>
    <mergeCell ref="A5:D5"/>
    <mergeCell ref="D37:E37"/>
    <mergeCell ref="D38:E38"/>
    <mergeCell ref="D39:E39"/>
    <mergeCell ref="D40:E40"/>
    <mergeCell ref="D41:E41"/>
    <mergeCell ref="D36:E36"/>
    <mergeCell ref="B45:D45"/>
    <mergeCell ref="B44:D44"/>
    <mergeCell ref="A55:E56"/>
    <mergeCell ref="B46:D46"/>
    <mergeCell ref="B47:D47"/>
    <mergeCell ref="B48:D48"/>
    <mergeCell ref="B49:D49"/>
    <mergeCell ref="B50:D5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93FBA-A125-5B42-BDA5-0A4FFA1CED57}">
  <dimension ref="A1:H26"/>
  <sheetViews>
    <sheetView showGridLines="0" topLeftCell="F1" workbookViewId="0">
      <pane ySplit="3" topLeftCell="A4" activePane="bottomLeft" state="frozen"/>
      <selection pane="bottomLeft" activeCell="J22" sqref="J22"/>
    </sheetView>
  </sheetViews>
  <sheetFormatPr baseColWidth="10" defaultRowHeight="16" x14ac:dyDescent="0.2"/>
  <cols>
    <col min="1" max="1" width="23.1640625" customWidth="1"/>
    <col min="2" max="2" width="12" customWidth="1"/>
    <col min="3" max="3" width="11.5" style="1" customWidth="1"/>
    <col min="5" max="5" width="10.83203125" style="1"/>
    <col min="6" max="6" width="27.1640625" style="1" customWidth="1"/>
  </cols>
  <sheetData>
    <row r="1" spans="1:8" s="2" customFormat="1" ht="22" x14ac:dyDescent="0.3">
      <c r="A1" s="56" t="s">
        <v>71</v>
      </c>
      <c r="B1" s="56"/>
      <c r="C1" s="56"/>
      <c r="D1" s="56"/>
      <c r="E1" s="56"/>
      <c r="F1" s="56"/>
      <c r="G1" s="56"/>
      <c r="H1" s="56"/>
    </row>
    <row r="3" spans="1:8" s="18" customFormat="1" x14ac:dyDescent="0.2">
      <c r="A3" s="18" t="s">
        <v>72</v>
      </c>
      <c r="B3" s="18" t="s">
        <v>73</v>
      </c>
      <c r="C3" s="18" t="s">
        <v>59</v>
      </c>
      <c r="D3" s="18" t="s">
        <v>60</v>
      </c>
      <c r="E3" s="18" t="s">
        <v>61</v>
      </c>
      <c r="F3" s="18" t="s">
        <v>74</v>
      </c>
    </row>
    <row r="4" spans="1:8" ht="22" x14ac:dyDescent="0.3">
      <c r="A4" s="60" t="s">
        <v>75</v>
      </c>
      <c r="B4" s="60"/>
      <c r="C4" s="60"/>
      <c r="D4" s="60"/>
      <c r="E4" s="60"/>
      <c r="F4" s="60"/>
      <c r="G4" s="60"/>
      <c r="H4" s="17"/>
    </row>
    <row r="5" spans="1:8" x14ac:dyDescent="0.2">
      <c r="A5" s="19" t="s">
        <v>76</v>
      </c>
      <c r="B5" s="1" t="s">
        <v>80</v>
      </c>
      <c r="C5" s="12">
        <f>Assumptions!C18</f>
        <v>2282.5334349999998</v>
      </c>
      <c r="D5" s="1" t="s">
        <v>38</v>
      </c>
      <c r="E5" s="1" t="s">
        <v>103</v>
      </c>
      <c r="F5" s="1" t="s">
        <v>82</v>
      </c>
      <c r="G5" s="1"/>
    </row>
    <row r="6" spans="1:8" x14ac:dyDescent="0.2">
      <c r="A6" s="19" t="s">
        <v>77</v>
      </c>
      <c r="B6" s="1" t="s">
        <v>80</v>
      </c>
      <c r="C6" s="12">
        <f>C5*Assumptions!C19</f>
        <v>45.650668699999997</v>
      </c>
      <c r="D6" s="1" t="s">
        <v>38</v>
      </c>
      <c r="E6" s="1" t="s">
        <v>103</v>
      </c>
      <c r="F6" s="1" t="s">
        <v>105</v>
      </c>
      <c r="G6" s="1"/>
    </row>
    <row r="7" spans="1:8" x14ac:dyDescent="0.2">
      <c r="A7" s="19" t="s">
        <v>78</v>
      </c>
      <c r="B7" s="1" t="s">
        <v>80</v>
      </c>
      <c r="C7" s="12">
        <f>Assumptions!C24*Assumptions!C20</f>
        <v>18.514599999999998</v>
      </c>
      <c r="D7" s="1" t="s">
        <v>38</v>
      </c>
      <c r="E7" s="1" t="s">
        <v>103</v>
      </c>
      <c r="F7" s="1" t="s">
        <v>83</v>
      </c>
      <c r="G7" s="1"/>
    </row>
    <row r="8" spans="1:8" x14ac:dyDescent="0.2">
      <c r="A8" s="19" t="s">
        <v>79</v>
      </c>
      <c r="B8" s="1" t="s">
        <v>81</v>
      </c>
      <c r="C8" s="12">
        <f>SUM(C5:C7)+C9</f>
        <v>2371.6987036999999</v>
      </c>
      <c r="D8" s="1" t="s">
        <v>38</v>
      </c>
      <c r="E8" s="1" t="str">
        <f>B8</f>
        <v xml:space="preserve">Formula </v>
      </c>
      <c r="F8" s="1" t="s">
        <v>84</v>
      </c>
      <c r="G8" s="1"/>
    </row>
    <row r="9" spans="1:8" x14ac:dyDescent="0.2">
      <c r="A9" s="19" t="s">
        <v>357</v>
      </c>
      <c r="B9" s="1" t="s">
        <v>103</v>
      </c>
      <c r="C9" s="12">
        <f>Assumptions!C27</f>
        <v>25</v>
      </c>
      <c r="D9" s="1" t="s">
        <v>38</v>
      </c>
      <c r="E9" s="1" t="s">
        <v>103</v>
      </c>
      <c r="F9" s="1" t="s">
        <v>358</v>
      </c>
    </row>
    <row r="10" spans="1:8" ht="22" x14ac:dyDescent="0.3">
      <c r="A10" s="60" t="s">
        <v>85</v>
      </c>
      <c r="B10" s="60"/>
      <c r="C10" s="60"/>
      <c r="D10" s="60"/>
      <c r="E10" s="60"/>
      <c r="F10" s="60"/>
    </row>
    <row r="11" spans="1:8" x14ac:dyDescent="0.2">
      <c r="A11" s="19" t="s">
        <v>86</v>
      </c>
      <c r="B11" s="1" t="s">
        <v>80</v>
      </c>
      <c r="C11" s="1">
        <f>Assumptions!C24</f>
        <v>925.7299999999999</v>
      </c>
      <c r="D11" s="1" t="s">
        <v>38</v>
      </c>
      <c r="E11" s="1" t="s">
        <v>103</v>
      </c>
      <c r="F11" s="1" t="s">
        <v>90</v>
      </c>
    </row>
    <row r="12" spans="1:8" x14ac:dyDescent="0.2">
      <c r="A12" s="19" t="s">
        <v>87</v>
      </c>
      <c r="B12" s="1" t="s">
        <v>89</v>
      </c>
      <c r="C12" s="12">
        <f>C8-C11</f>
        <v>1445.9687036999999</v>
      </c>
      <c r="D12" s="1" t="s">
        <v>38</v>
      </c>
      <c r="E12" s="1" t="s">
        <v>81</v>
      </c>
      <c r="F12" s="1" t="s">
        <v>91</v>
      </c>
    </row>
    <row r="13" spans="1:8" x14ac:dyDescent="0.2">
      <c r="A13" s="19" t="s">
        <v>88</v>
      </c>
      <c r="B13" s="1" t="s">
        <v>81</v>
      </c>
      <c r="C13" s="12">
        <f>SUM(C11:C12)</f>
        <v>2371.6987036999999</v>
      </c>
      <c r="D13" s="1" t="s">
        <v>38</v>
      </c>
      <c r="E13" s="1" t="s">
        <v>81</v>
      </c>
      <c r="F13" s="1" t="s">
        <v>92</v>
      </c>
    </row>
    <row r="15" spans="1:8" ht="22" x14ac:dyDescent="0.3">
      <c r="A15" s="60" t="s">
        <v>93</v>
      </c>
      <c r="B15" s="60"/>
      <c r="C15" s="60"/>
      <c r="D15" s="60"/>
      <c r="E15" s="60"/>
      <c r="F15" s="60"/>
    </row>
    <row r="16" spans="1:8" x14ac:dyDescent="0.2">
      <c r="A16" s="19" t="s">
        <v>94</v>
      </c>
      <c r="C16" s="13">
        <f>C11/C13</f>
        <v>0.39032361005881672</v>
      </c>
    </row>
    <row r="17" spans="1:3" x14ac:dyDescent="0.2">
      <c r="A17" s="19" t="s">
        <v>95</v>
      </c>
      <c r="C17" s="13">
        <f>C12/C13</f>
        <v>0.60967638994118323</v>
      </c>
    </row>
    <row r="18" spans="1:3" x14ac:dyDescent="0.2">
      <c r="A18" s="19" t="s">
        <v>102</v>
      </c>
      <c r="C18" s="33">
        <f>C13-C8</f>
        <v>0</v>
      </c>
    </row>
    <row r="19" spans="1:3" x14ac:dyDescent="0.2">
      <c r="A19" s="19" t="s">
        <v>104</v>
      </c>
      <c r="C19" s="20" t="str">
        <f>IF(ABS(C18)&lt;0.01,"PASS","FAIL")</f>
        <v>PASS</v>
      </c>
    </row>
    <row r="20" spans="1:3" x14ac:dyDescent="0.2">
      <c r="A20" s="19" t="s">
        <v>96</v>
      </c>
      <c r="C20" s="12">
        <f>Assumptions!C14</f>
        <v>12.328289214997893</v>
      </c>
    </row>
    <row r="21" spans="1:3" x14ac:dyDescent="0.2">
      <c r="A21" s="19" t="s">
        <v>97</v>
      </c>
      <c r="C21" s="12">
        <f>Assumptions!C13</f>
        <v>3.1850000000000001</v>
      </c>
    </row>
    <row r="22" spans="1:3" x14ac:dyDescent="0.2">
      <c r="A22" s="19" t="s">
        <v>101</v>
      </c>
      <c r="C22" s="12">
        <f>Assumptions!C23</f>
        <v>5</v>
      </c>
    </row>
    <row r="24" spans="1:3" ht="22" x14ac:dyDescent="0.3">
      <c r="A24" s="17" t="s">
        <v>98</v>
      </c>
    </row>
    <row r="25" spans="1:3" x14ac:dyDescent="0.2">
      <c r="A25" s="19" t="s">
        <v>99</v>
      </c>
      <c r="C25" s="12">
        <f>C13-C8</f>
        <v>0</v>
      </c>
    </row>
    <row r="26" spans="1:3" x14ac:dyDescent="0.2">
      <c r="A26" s="19" t="s">
        <v>100</v>
      </c>
      <c r="C26" s="1" t="str">
        <f>IF(ABS(C25)&lt;0.01,"OK","ERROR")</f>
        <v>OK</v>
      </c>
    </row>
  </sheetData>
  <mergeCells count="4">
    <mergeCell ref="A1:H1"/>
    <mergeCell ref="A4:G4"/>
    <mergeCell ref="A10:F10"/>
    <mergeCell ref="A15:F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F427D-7A6A-354B-A7D7-DF66D8EA50B5}">
  <dimension ref="A1:G26"/>
  <sheetViews>
    <sheetView showGridLines="0" topLeftCell="C1" workbookViewId="0">
      <pane ySplit="3" topLeftCell="A4" activePane="bottomLeft" state="frozen"/>
      <selection pane="bottomLeft" activeCell="O18" sqref="O18"/>
    </sheetView>
  </sheetViews>
  <sheetFormatPr baseColWidth="10" defaultRowHeight="16" x14ac:dyDescent="0.2"/>
  <cols>
    <col min="1" max="1" width="26.6640625" customWidth="1"/>
  </cols>
  <sheetData>
    <row r="1" spans="1:7" s="2" customFormat="1" ht="22" x14ac:dyDescent="0.3">
      <c r="A1" s="56" t="s">
        <v>106</v>
      </c>
      <c r="B1" s="56"/>
      <c r="C1" s="56"/>
      <c r="D1" s="56"/>
      <c r="E1" s="56"/>
      <c r="F1" s="56"/>
      <c r="G1" s="56"/>
    </row>
    <row r="3" spans="1:7" s="2" customFormat="1" x14ac:dyDescent="0.2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</row>
    <row r="4" spans="1:7" ht="22" x14ac:dyDescent="0.3">
      <c r="A4" s="7" t="s">
        <v>114</v>
      </c>
    </row>
    <row r="5" spans="1:7" x14ac:dyDescent="0.2">
      <c r="A5" t="s">
        <v>115</v>
      </c>
      <c r="B5" s="8">
        <f>Assumptions!C10</f>
        <v>716.65099999999995</v>
      </c>
      <c r="C5" s="8">
        <f>B5*(1+C6)</f>
        <v>773.98307999999997</v>
      </c>
      <c r="D5" s="8">
        <f>C5*(1+D6)</f>
        <v>839.7716418</v>
      </c>
      <c r="E5" s="8">
        <f>D5*(1+E6)</f>
        <v>915.35108956200008</v>
      </c>
      <c r="F5" s="8">
        <f>E5*(1+F6)</f>
        <v>988.5791767269601</v>
      </c>
      <c r="G5" s="8">
        <f>F5*(1+G6)</f>
        <v>1057.7797190978474</v>
      </c>
    </row>
    <row r="6" spans="1:7" x14ac:dyDescent="0.2">
      <c r="A6" t="s">
        <v>116</v>
      </c>
      <c r="B6" s="8"/>
      <c r="C6" s="23">
        <v>0.08</v>
      </c>
      <c r="D6" s="23">
        <v>8.5000000000000006E-2</v>
      </c>
      <c r="E6" s="23">
        <v>0.09</v>
      </c>
      <c r="F6" s="23">
        <v>0.08</v>
      </c>
      <c r="G6" s="23">
        <v>7.0000000000000007E-2</v>
      </c>
    </row>
    <row r="7" spans="1:7" ht="22" x14ac:dyDescent="0.3">
      <c r="A7" s="7" t="s">
        <v>117</v>
      </c>
      <c r="B7" s="8"/>
      <c r="C7" s="8"/>
      <c r="D7" s="8"/>
      <c r="E7" s="8"/>
      <c r="F7" s="8"/>
      <c r="G7" s="8"/>
    </row>
    <row r="8" spans="1:7" x14ac:dyDescent="0.2">
      <c r="A8" t="s">
        <v>5</v>
      </c>
      <c r="B8" s="8">
        <f>Assumptions!C12</f>
        <v>0.25834890344114497</v>
      </c>
      <c r="C8" s="8">
        <v>0.27</v>
      </c>
      <c r="D8" s="8">
        <v>0.28499999999999998</v>
      </c>
      <c r="E8" s="8">
        <v>0.3</v>
      </c>
      <c r="F8" s="8">
        <v>0.31</v>
      </c>
      <c r="G8" s="8">
        <v>0.32</v>
      </c>
    </row>
    <row r="9" spans="1:7" x14ac:dyDescent="0.2">
      <c r="A9" t="s">
        <v>118</v>
      </c>
      <c r="B9" s="8">
        <f t="shared" ref="B9:G9" si="0">B5*B8</f>
        <v>185.14599999999999</v>
      </c>
      <c r="C9" s="8">
        <f t="shared" si="0"/>
        <v>208.97543160000001</v>
      </c>
      <c r="D9" s="8">
        <f t="shared" si="0"/>
        <v>239.33491791299997</v>
      </c>
      <c r="E9" s="8">
        <f t="shared" si="0"/>
        <v>274.6053268686</v>
      </c>
      <c r="F9" s="8">
        <f t="shared" si="0"/>
        <v>306.45954478535765</v>
      </c>
      <c r="G9" s="8">
        <f t="shared" si="0"/>
        <v>338.48951011131118</v>
      </c>
    </row>
    <row r="10" spans="1:7" x14ac:dyDescent="0.2">
      <c r="A10" t="s">
        <v>119</v>
      </c>
      <c r="B10" s="8">
        <v>0.04</v>
      </c>
      <c r="C10" s="8">
        <v>0.04</v>
      </c>
      <c r="D10" s="8">
        <v>0.04</v>
      </c>
      <c r="E10" s="8">
        <v>0.04</v>
      </c>
      <c r="F10" s="8">
        <v>0.04</v>
      </c>
      <c r="G10" s="8">
        <v>0.04</v>
      </c>
    </row>
    <row r="11" spans="1:7" x14ac:dyDescent="0.2">
      <c r="A11" t="s">
        <v>120</v>
      </c>
      <c r="B11" s="8">
        <f t="shared" ref="B11:G11" si="1">B5*B10</f>
        <v>28.666039999999999</v>
      </c>
      <c r="C11" s="8">
        <f t="shared" si="1"/>
        <v>30.9593232</v>
      </c>
      <c r="D11" s="8">
        <f t="shared" si="1"/>
        <v>33.590865672</v>
      </c>
      <c r="E11" s="8">
        <f t="shared" si="1"/>
        <v>36.614043582480001</v>
      </c>
      <c r="F11" s="8">
        <f t="shared" si="1"/>
        <v>39.543167069078407</v>
      </c>
      <c r="G11" s="8">
        <f t="shared" si="1"/>
        <v>42.311188763913897</v>
      </c>
    </row>
    <row r="12" spans="1:7" x14ac:dyDescent="0.2">
      <c r="A12" t="s">
        <v>121</v>
      </c>
      <c r="B12" s="8">
        <f t="shared" ref="B12:G12" si="2">B9-B11</f>
        <v>156.47995999999998</v>
      </c>
      <c r="C12" s="8">
        <f t="shared" si="2"/>
        <v>178.01610840000001</v>
      </c>
      <c r="D12" s="8">
        <f t="shared" si="2"/>
        <v>205.74405224099996</v>
      </c>
      <c r="E12" s="8">
        <f t="shared" si="2"/>
        <v>237.99128328611999</v>
      </c>
      <c r="F12" s="8">
        <f t="shared" si="2"/>
        <v>266.91637771627927</v>
      </c>
      <c r="G12" s="8">
        <f t="shared" si="2"/>
        <v>296.17832134739729</v>
      </c>
    </row>
    <row r="13" spans="1:7" ht="22" x14ac:dyDescent="0.3">
      <c r="A13" s="7" t="s">
        <v>122</v>
      </c>
      <c r="B13" s="8"/>
      <c r="C13" s="8"/>
      <c r="D13" s="8"/>
      <c r="E13" s="8"/>
      <c r="F13" s="8"/>
      <c r="G13" s="8"/>
    </row>
    <row r="14" spans="1:7" x14ac:dyDescent="0.2">
      <c r="A14" t="s">
        <v>123</v>
      </c>
      <c r="B14" s="22">
        <v>0.25</v>
      </c>
      <c r="C14" s="22">
        <v>0.25</v>
      </c>
      <c r="D14" s="22">
        <v>0.25</v>
      </c>
      <c r="E14" s="22">
        <v>0.25</v>
      </c>
      <c r="F14" s="22">
        <v>0.25</v>
      </c>
      <c r="G14" s="22">
        <v>0.25</v>
      </c>
    </row>
    <row r="15" spans="1:7" x14ac:dyDescent="0.2">
      <c r="A15" t="s">
        <v>124</v>
      </c>
      <c r="B15" s="8">
        <f t="shared" ref="B15:G15" si="3">MAX(0,B12*B14)</f>
        <v>39.119989999999994</v>
      </c>
      <c r="C15" s="8">
        <f t="shared" si="3"/>
        <v>44.504027100000002</v>
      </c>
      <c r="D15" s="8">
        <f t="shared" si="3"/>
        <v>51.436013060249991</v>
      </c>
      <c r="E15" s="8">
        <f t="shared" si="3"/>
        <v>59.497820821529999</v>
      </c>
      <c r="F15" s="8">
        <f t="shared" si="3"/>
        <v>66.729094429069818</v>
      </c>
      <c r="G15" s="8">
        <f t="shared" si="3"/>
        <v>74.044580336849322</v>
      </c>
    </row>
    <row r="16" spans="1:7" x14ac:dyDescent="0.2">
      <c r="A16" t="s">
        <v>125</v>
      </c>
      <c r="B16" s="8">
        <f t="shared" ref="B16:G16" si="4">B12-B15</f>
        <v>117.35996999999998</v>
      </c>
      <c r="C16" s="8">
        <f t="shared" si="4"/>
        <v>133.51208130000001</v>
      </c>
      <c r="D16" s="8">
        <f t="shared" si="4"/>
        <v>154.30803918074997</v>
      </c>
      <c r="E16" s="8">
        <f t="shared" si="4"/>
        <v>178.49346246458998</v>
      </c>
      <c r="F16" s="8">
        <f t="shared" si="4"/>
        <v>200.18728328720945</v>
      </c>
      <c r="G16" s="8">
        <f t="shared" si="4"/>
        <v>222.13374101054796</v>
      </c>
    </row>
    <row r="17" spans="1:7" ht="22" x14ac:dyDescent="0.3">
      <c r="A17" s="7" t="s">
        <v>126</v>
      </c>
      <c r="B17" s="8"/>
      <c r="C17" s="8"/>
      <c r="D17" s="8"/>
      <c r="E17" s="8"/>
      <c r="F17" s="8"/>
      <c r="G17" s="8"/>
    </row>
    <row r="18" spans="1:7" x14ac:dyDescent="0.2">
      <c r="A18" t="s">
        <v>127</v>
      </c>
      <c r="B18" s="8">
        <f t="shared" ref="B18:G18" si="5">B11</f>
        <v>28.666039999999999</v>
      </c>
      <c r="C18" s="8">
        <f t="shared" si="5"/>
        <v>30.9593232</v>
      </c>
      <c r="D18" s="8">
        <f t="shared" si="5"/>
        <v>33.590865672</v>
      </c>
      <c r="E18" s="8">
        <f t="shared" si="5"/>
        <v>36.614043582480001</v>
      </c>
      <c r="F18" s="8">
        <f t="shared" si="5"/>
        <v>39.543167069078407</v>
      </c>
      <c r="G18" s="8">
        <f t="shared" si="5"/>
        <v>42.311188763913897</v>
      </c>
    </row>
    <row r="19" spans="1:7" x14ac:dyDescent="0.2">
      <c r="A19" t="s">
        <v>128</v>
      </c>
      <c r="B19" s="22">
        <v>0.03</v>
      </c>
      <c r="C19" s="22">
        <v>0.03</v>
      </c>
      <c r="D19" s="22">
        <v>0.03</v>
      </c>
      <c r="E19" s="22">
        <v>0.03</v>
      </c>
      <c r="F19" s="22">
        <v>0.03</v>
      </c>
      <c r="G19" s="22">
        <v>0.03</v>
      </c>
    </row>
    <row r="20" spans="1:7" x14ac:dyDescent="0.2">
      <c r="A20" t="s">
        <v>129</v>
      </c>
      <c r="B20" s="8">
        <f t="shared" ref="B20:G20" si="6">B5*B19</f>
        <v>21.499529999999996</v>
      </c>
      <c r="C20" s="8">
        <f t="shared" si="6"/>
        <v>23.2194924</v>
      </c>
      <c r="D20" s="8">
        <f t="shared" si="6"/>
        <v>25.193149253999998</v>
      </c>
      <c r="E20" s="8">
        <f t="shared" si="6"/>
        <v>27.460532686860002</v>
      </c>
      <c r="F20" s="8">
        <f t="shared" si="6"/>
        <v>29.657375301808802</v>
      </c>
      <c r="G20" s="8">
        <f t="shared" si="6"/>
        <v>31.733391572935421</v>
      </c>
    </row>
    <row r="21" spans="1:7" x14ac:dyDescent="0.2">
      <c r="A21" t="s">
        <v>130</v>
      </c>
      <c r="B21" s="22">
        <v>0.01</v>
      </c>
      <c r="C21" s="22">
        <v>0.01</v>
      </c>
      <c r="D21" s="22">
        <v>0.01</v>
      </c>
      <c r="E21" s="22">
        <v>0.01</v>
      </c>
      <c r="F21" s="22">
        <v>0.01</v>
      </c>
      <c r="G21" s="22">
        <v>0.01</v>
      </c>
    </row>
    <row r="22" spans="1:7" x14ac:dyDescent="0.2">
      <c r="A22" t="s">
        <v>131</v>
      </c>
      <c r="B22" s="8">
        <f t="shared" ref="B22:G22" si="7">B5*B21</f>
        <v>7.1665099999999997</v>
      </c>
      <c r="C22" s="8">
        <f t="shared" si="7"/>
        <v>7.7398308</v>
      </c>
      <c r="D22" s="8">
        <f t="shared" si="7"/>
        <v>8.3977164179999999</v>
      </c>
      <c r="E22" s="8">
        <f t="shared" si="7"/>
        <v>9.1535108956200002</v>
      </c>
      <c r="F22" s="8">
        <f t="shared" si="7"/>
        <v>9.8857917672696018</v>
      </c>
      <c r="G22" s="8">
        <f t="shared" si="7"/>
        <v>10.577797190978474</v>
      </c>
    </row>
    <row r="23" spans="1:7" x14ac:dyDescent="0.2">
      <c r="A23" t="s">
        <v>354</v>
      </c>
      <c r="B23" s="9">
        <f t="shared" ref="B23:G23" si="8">B16+B18-B20-B22</f>
        <v>117.35996999999999</v>
      </c>
      <c r="C23" s="9">
        <f t="shared" si="8"/>
        <v>133.51208130000001</v>
      </c>
      <c r="D23" s="9">
        <f t="shared" si="8"/>
        <v>154.30803918075</v>
      </c>
      <c r="E23" s="9">
        <f t="shared" si="8"/>
        <v>178.49346246458998</v>
      </c>
      <c r="F23" s="9">
        <f t="shared" si="8"/>
        <v>200.18728328720945</v>
      </c>
      <c r="G23" s="9">
        <f t="shared" si="8"/>
        <v>222.13374101054794</v>
      </c>
    </row>
    <row r="25" spans="1:7" x14ac:dyDescent="0.2">
      <c r="A25" t="s">
        <v>327</v>
      </c>
    </row>
    <row r="26" spans="1:7" x14ac:dyDescent="0.2">
      <c r="A26" t="s">
        <v>328</v>
      </c>
      <c r="B26" t="s">
        <v>342</v>
      </c>
      <c r="C26" s="37">
        <f>C6+C8</f>
        <v>0.35000000000000003</v>
      </c>
      <c r="D26" s="37">
        <f>D6+D8</f>
        <v>0.37</v>
      </c>
      <c r="E26" s="37">
        <f>E6+E8</f>
        <v>0.39</v>
      </c>
      <c r="F26" s="37">
        <f>F6+F8</f>
        <v>0.39</v>
      </c>
      <c r="G26" s="37">
        <f>G6+G8</f>
        <v>0.39</v>
      </c>
    </row>
  </sheetData>
  <mergeCells count="1">
    <mergeCell ref="A1:G1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8535B-784D-EB46-9FDE-54A256578424}">
  <dimension ref="A1:G29"/>
  <sheetViews>
    <sheetView showGridLines="0" workbookViewId="0">
      <pane ySplit="3" topLeftCell="A15" activePane="bottomLeft" state="frozen"/>
      <selection pane="bottomLeft" activeCell="K17" sqref="K17"/>
    </sheetView>
  </sheetViews>
  <sheetFormatPr baseColWidth="10" defaultRowHeight="16" x14ac:dyDescent="0.2"/>
  <cols>
    <col min="1" max="1" width="25" customWidth="1"/>
  </cols>
  <sheetData>
    <row r="1" spans="1:7" s="24" customFormat="1" ht="22" x14ac:dyDescent="0.3">
      <c r="A1" s="56" t="s">
        <v>340</v>
      </c>
      <c r="B1" s="56"/>
      <c r="C1" s="56"/>
      <c r="D1" s="56"/>
      <c r="E1" s="56"/>
      <c r="F1" s="56"/>
      <c r="G1" s="56"/>
    </row>
    <row r="3" spans="1:7" s="2" customFormat="1" x14ac:dyDescent="0.2">
      <c r="A3" s="2" t="s">
        <v>132</v>
      </c>
      <c r="B3" s="2" t="s">
        <v>134</v>
      </c>
      <c r="C3" s="2" t="s">
        <v>135</v>
      </c>
      <c r="D3" s="2" t="s">
        <v>136</v>
      </c>
      <c r="E3" s="2" t="s">
        <v>137</v>
      </c>
      <c r="F3" s="2" t="s">
        <v>138</v>
      </c>
      <c r="G3" s="2" t="s">
        <v>139</v>
      </c>
    </row>
    <row r="4" spans="1:7" ht="22" x14ac:dyDescent="0.3">
      <c r="A4" s="7" t="s">
        <v>140</v>
      </c>
    </row>
    <row r="5" spans="1:7" x14ac:dyDescent="0.2">
      <c r="A5" t="s">
        <v>141</v>
      </c>
      <c r="B5" s="9">
        <f>0</f>
        <v>0</v>
      </c>
      <c r="C5" s="9">
        <f>B9</f>
        <v>890.07099249999987</v>
      </c>
      <c r="D5" s="9">
        <f>C9</f>
        <v>836.07575949062482</v>
      </c>
      <c r="E5" s="9">
        <f>D9</f>
        <v>757.97736057867564</v>
      </c>
      <c r="F5" s="9">
        <f>E9</f>
        <v>650.91001144952952</v>
      </c>
      <c r="G5" s="9">
        <f>F9</f>
        <v>515.5909663636038</v>
      </c>
    </row>
    <row r="6" spans="1:7" x14ac:dyDescent="0.2">
      <c r="A6" t="s">
        <v>142</v>
      </c>
      <c r="B6" s="9">
        <f>Assumptions!C24</f>
        <v>925.7299999999999</v>
      </c>
      <c r="C6" s="9">
        <f>0</f>
        <v>0</v>
      </c>
      <c r="D6" s="9">
        <f>0</f>
        <v>0</v>
      </c>
      <c r="E6" s="9">
        <f>0</f>
        <v>0</v>
      </c>
      <c r="F6" s="9">
        <f>0</f>
        <v>0</v>
      </c>
      <c r="G6" s="9">
        <f>0</f>
        <v>0</v>
      </c>
    </row>
    <row r="7" spans="1:7" x14ac:dyDescent="0.2">
      <c r="A7" t="s">
        <v>148</v>
      </c>
      <c r="B7" s="9">
        <f>B12*Sources!$B$33</f>
        <v>9.257299999999999</v>
      </c>
      <c r="C7" s="9">
        <f>C12*Sources!$B$33</f>
        <v>8.9007099249999992</v>
      </c>
      <c r="D7" s="9">
        <f>D12*Sources!$B$33</f>
        <v>8.3607575949062483</v>
      </c>
      <c r="E7" s="9">
        <f>E12*Sources!$B$33</f>
        <v>7.5797736057867562</v>
      </c>
      <c r="F7" s="9">
        <f>F12*Sources!$B$33</f>
        <v>6.5091001144952951</v>
      </c>
      <c r="G7" s="9">
        <f>G12*Sources!$B$33</f>
        <v>5.155909663636038</v>
      </c>
    </row>
    <row r="8" spans="1:7" x14ac:dyDescent="0.2">
      <c r="A8" t="s">
        <v>143</v>
      </c>
      <c r="B8" s="9">
        <f>MAX(0,MIN(B15-Assumptions!$C$27,B12-B7))</f>
        <v>26.401707500000001</v>
      </c>
      <c r="C8" s="9">
        <f>MAX(0,MIN(C15-Assumptions!$C$27,C12-C7))</f>
        <v>45.094523084375027</v>
      </c>
      <c r="D8" s="9">
        <f>MAX(0,MIN(D15-Assumptions!$C$27,D12-D7))</f>
        <v>69.737641317042957</v>
      </c>
      <c r="E8" s="9">
        <f>MAX(0,MIN(E15-Assumptions!$C$27,E12-E7))</f>
        <v>99.48757552335934</v>
      </c>
      <c r="F8" s="9">
        <f>MAX(0,MIN(F15-Assumptions!$C$27,F12-F7))</f>
        <v>128.80994497143047</v>
      </c>
      <c r="G8" s="9">
        <f>MAX(0,MIN(G15-Assumptions!$C$27,G12-G7))</f>
        <v>160.39788465714119</v>
      </c>
    </row>
    <row r="9" spans="1:7" x14ac:dyDescent="0.2">
      <c r="A9" t="s">
        <v>144</v>
      </c>
      <c r="B9" s="9">
        <f t="shared" ref="B9:G9" si="0">B12-B7-B8</f>
        <v>890.07099249999987</v>
      </c>
      <c r="C9" s="9">
        <f t="shared" si="0"/>
        <v>836.07575949062482</v>
      </c>
      <c r="D9" s="9">
        <f t="shared" si="0"/>
        <v>757.97736057867564</v>
      </c>
      <c r="E9" s="9">
        <f t="shared" si="0"/>
        <v>650.91001144952952</v>
      </c>
      <c r="F9" s="9">
        <f t="shared" si="0"/>
        <v>515.5909663636038</v>
      </c>
      <c r="G9" s="9">
        <f t="shared" si="0"/>
        <v>350.03717204282657</v>
      </c>
    </row>
    <row r="10" spans="1:7" x14ac:dyDescent="0.2">
      <c r="B10" s="9"/>
      <c r="C10" s="9"/>
      <c r="D10" s="9"/>
      <c r="E10" s="9"/>
      <c r="F10" s="9"/>
      <c r="G10" s="9"/>
    </row>
    <row r="11" spans="1:7" ht="22" x14ac:dyDescent="0.3">
      <c r="A11" s="7" t="s">
        <v>145</v>
      </c>
      <c r="B11" s="9"/>
      <c r="C11" s="9"/>
      <c r="D11" s="9"/>
      <c r="E11" s="9"/>
      <c r="F11" s="9"/>
      <c r="G11" s="9"/>
    </row>
    <row r="12" spans="1:7" x14ac:dyDescent="0.2">
      <c r="A12" t="s">
        <v>317</v>
      </c>
      <c r="B12" s="9">
        <f t="shared" ref="B12:G12" si="1">B5+B6</f>
        <v>925.7299999999999</v>
      </c>
      <c r="C12" s="9">
        <f t="shared" si="1"/>
        <v>890.07099249999987</v>
      </c>
      <c r="D12" s="9">
        <f t="shared" si="1"/>
        <v>836.07575949062482</v>
      </c>
      <c r="E12" s="9">
        <f t="shared" si="1"/>
        <v>757.97736057867564</v>
      </c>
      <c r="F12" s="9">
        <f t="shared" si="1"/>
        <v>650.91001144952952</v>
      </c>
      <c r="G12" s="9">
        <f t="shared" si="1"/>
        <v>515.5909663636038</v>
      </c>
    </row>
    <row r="13" spans="1:7" x14ac:dyDescent="0.2">
      <c r="A13" t="s">
        <v>146</v>
      </c>
      <c r="B13" s="23">
        <f>Assumptions!C25</f>
        <v>9.5000000000000001E-2</v>
      </c>
      <c r="C13" s="23">
        <f>Assumptions!C25</f>
        <v>9.5000000000000001E-2</v>
      </c>
      <c r="D13" s="23">
        <f>Assumptions!C25</f>
        <v>9.5000000000000001E-2</v>
      </c>
      <c r="E13" s="23">
        <f>Assumptions!C25</f>
        <v>9.5000000000000001E-2</v>
      </c>
      <c r="F13" s="23">
        <f>Assumptions!C25</f>
        <v>9.5000000000000001E-2</v>
      </c>
      <c r="G13" s="23">
        <f>Assumptions!C25</f>
        <v>9.5000000000000001E-2</v>
      </c>
    </row>
    <row r="14" spans="1:7" x14ac:dyDescent="0.2">
      <c r="A14" t="s">
        <v>318</v>
      </c>
      <c r="B14" s="9">
        <f t="shared" ref="B14:G14" si="2">B12*B13</f>
        <v>87.944349999999986</v>
      </c>
      <c r="C14" s="9">
        <f t="shared" si="2"/>
        <v>84.556744287499995</v>
      </c>
      <c r="D14" s="9">
        <f t="shared" si="2"/>
        <v>79.427197151609363</v>
      </c>
      <c r="E14" s="9">
        <f t="shared" si="2"/>
        <v>72.00784925497419</v>
      </c>
      <c r="F14" s="9">
        <f t="shared" si="2"/>
        <v>61.836451087705306</v>
      </c>
      <c r="G14" s="9">
        <f t="shared" si="2"/>
        <v>48.981141804542361</v>
      </c>
    </row>
    <row r="15" spans="1:7" x14ac:dyDescent="0.2">
      <c r="A15" t="s">
        <v>353</v>
      </c>
      <c r="B15" s="9">
        <f>B28</f>
        <v>51.401707500000001</v>
      </c>
      <c r="C15" s="9">
        <f>C28</f>
        <v>70.094523084375027</v>
      </c>
      <c r="D15" s="9">
        <f>D28</f>
        <v>94.737641317042957</v>
      </c>
      <c r="E15" s="9">
        <f>E28</f>
        <v>124.48757552335934</v>
      </c>
      <c r="F15" s="9">
        <f>F28</f>
        <v>153.80994497143047</v>
      </c>
      <c r="G15" s="9">
        <f>G28</f>
        <v>185.39788465714119</v>
      </c>
    </row>
    <row r="16" spans="1:7" ht="22" x14ac:dyDescent="0.3">
      <c r="A16" s="7" t="s">
        <v>147</v>
      </c>
      <c r="B16" s="9"/>
      <c r="C16" s="9"/>
      <c r="D16" s="9"/>
      <c r="E16" s="9"/>
      <c r="F16" s="9"/>
      <c r="G16" s="9"/>
    </row>
    <row r="17" spans="1:7" x14ac:dyDescent="0.2">
      <c r="A17" t="s">
        <v>118</v>
      </c>
      <c r="B17" s="9">
        <f>'Operating Model'!B9</f>
        <v>185.14599999999999</v>
      </c>
      <c r="C17" s="9">
        <f>'Operating Model'!C9</f>
        <v>208.97543160000001</v>
      </c>
      <c r="D17" s="9">
        <f>'Operating Model'!D9</f>
        <v>239.33491791299997</v>
      </c>
      <c r="E17" s="9">
        <f>'Operating Model'!E9</f>
        <v>274.6053268686</v>
      </c>
      <c r="F17" s="9">
        <f>'Operating Model'!F9</f>
        <v>306.45954478535765</v>
      </c>
      <c r="G17" s="9">
        <f>'Operating Model'!G9</f>
        <v>338.48951011131118</v>
      </c>
    </row>
    <row r="18" spans="1:7" x14ac:dyDescent="0.2">
      <c r="A18" t="s">
        <v>341</v>
      </c>
      <c r="B18" s="9">
        <f t="shared" ref="B18:G18" si="3">B9/B17</f>
        <v>4.8074006054681169</v>
      </c>
      <c r="C18" s="9">
        <f t="shared" si="3"/>
        <v>4.0008327921100211</v>
      </c>
      <c r="D18" s="9">
        <f t="shared" si="3"/>
        <v>3.1670153573420743</v>
      </c>
      <c r="E18" s="9">
        <f t="shared" si="3"/>
        <v>2.370347359506952</v>
      </c>
      <c r="F18" s="9">
        <f t="shared" si="3"/>
        <v>1.6824111865229079</v>
      </c>
      <c r="G18" s="9">
        <f t="shared" si="3"/>
        <v>1.0341152726644851</v>
      </c>
    </row>
    <row r="19" spans="1:7" x14ac:dyDescent="0.2">
      <c r="A19" t="s">
        <v>319</v>
      </c>
      <c r="B19" s="9">
        <f t="shared" ref="B19:G19" si="4">B17/B14</f>
        <v>2.1052631578947372</v>
      </c>
      <c r="C19" s="9">
        <f t="shared" si="4"/>
        <v>2.4714223964142481</v>
      </c>
      <c r="D19" s="9">
        <f t="shared" si="4"/>
        <v>3.0132615337811974</v>
      </c>
      <c r="E19" s="9">
        <f t="shared" si="4"/>
        <v>3.8135471300669446</v>
      </c>
      <c r="F19" s="9">
        <f t="shared" si="4"/>
        <v>4.9559691637331005</v>
      </c>
      <c r="G19" s="9">
        <f t="shared" si="4"/>
        <v>6.9106088106733496</v>
      </c>
    </row>
    <row r="21" spans="1:7" x14ac:dyDescent="0.2">
      <c r="A21" t="s">
        <v>149</v>
      </c>
      <c r="B21" t="str">
        <f>IF(MIN(B9:G9)&gt;=0,"PASS","FAIL")</f>
        <v>PASS</v>
      </c>
    </row>
    <row r="23" spans="1:7" ht="22" x14ac:dyDescent="0.3">
      <c r="A23" s="7" t="s">
        <v>347</v>
      </c>
    </row>
    <row r="24" spans="1:7" x14ac:dyDescent="0.2">
      <c r="A24" t="s">
        <v>121</v>
      </c>
      <c r="B24" s="8">
        <f>'Operating Model'!B12</f>
        <v>156.47995999999998</v>
      </c>
      <c r="C24" s="8">
        <f>'Operating Model'!C12</f>
        <v>178.01610840000001</v>
      </c>
      <c r="D24" s="8">
        <f>'Operating Model'!D12</f>
        <v>205.74405224099996</v>
      </c>
      <c r="E24" s="8">
        <f>'Operating Model'!E12</f>
        <v>237.99128328611999</v>
      </c>
      <c r="F24" s="8">
        <f>'Operating Model'!F12</f>
        <v>266.91637771627927</v>
      </c>
      <c r="G24" s="8">
        <f>'Operating Model'!G12</f>
        <v>296.17832134739729</v>
      </c>
    </row>
    <row r="25" spans="1:7" x14ac:dyDescent="0.2">
      <c r="A25" t="s">
        <v>348</v>
      </c>
      <c r="B25" s="8">
        <f>-B14</f>
        <v>-87.944349999999986</v>
      </c>
      <c r="C25" s="8">
        <f>-C14</f>
        <v>-84.556744287499995</v>
      </c>
      <c r="D25" s="8">
        <f>-D14</f>
        <v>-79.427197151609363</v>
      </c>
      <c r="E25" s="8">
        <f>-E14</f>
        <v>-72.00784925497419</v>
      </c>
      <c r="F25" s="8">
        <f>-F14</f>
        <v>-61.836451087705306</v>
      </c>
      <c r="G25" s="8">
        <f>-G14</f>
        <v>-48.981141804542361</v>
      </c>
    </row>
    <row r="26" spans="1:7" x14ac:dyDescent="0.2">
      <c r="A26" t="s">
        <v>349</v>
      </c>
      <c r="B26" s="8">
        <f>B24+B25</f>
        <v>68.535609999999991</v>
      </c>
      <c r="C26" s="8">
        <f>C24+C25</f>
        <v>93.459364112500012</v>
      </c>
      <c r="D26" s="8">
        <f>D24+D25</f>
        <v>126.3168550893906</v>
      </c>
      <c r="E26" s="8">
        <f>E24+E25</f>
        <v>165.9834340311458</v>
      </c>
      <c r="F26" s="8">
        <f>F24+F25</f>
        <v>205.07992662857396</v>
      </c>
      <c r="G26" s="8">
        <f>G24+G25</f>
        <v>247.19717954285494</v>
      </c>
    </row>
    <row r="27" spans="1:7" x14ac:dyDescent="0.2">
      <c r="A27" t="s">
        <v>350</v>
      </c>
      <c r="B27" s="8">
        <f>MAX(0,B26*'Operating Model'!B14)</f>
        <v>17.133902499999998</v>
      </c>
      <c r="C27" s="8">
        <f>MAX(0,C26*'Operating Model'!C14)</f>
        <v>23.364841028125003</v>
      </c>
      <c r="D27" s="8">
        <f>MAX(0,D26*'Operating Model'!D14)</f>
        <v>31.57921377234765</v>
      </c>
      <c r="E27" s="8">
        <f>MAX(0,E26*'Operating Model'!E14)</f>
        <v>41.495858507786451</v>
      </c>
      <c r="F27" s="8">
        <f>MAX(0,F26*'Operating Model'!F14)</f>
        <v>51.269981657143489</v>
      </c>
      <c r="G27" s="8">
        <f>MAX(0,G26*'Operating Model'!G14)</f>
        <v>61.799294885713735</v>
      </c>
    </row>
    <row r="28" spans="1:7" x14ac:dyDescent="0.2">
      <c r="A28" t="s">
        <v>351</v>
      </c>
      <c r="B28" s="8">
        <f>B26-B27+'Operating Model'!B11-'Operating Model'!B20-'Operating Model'!B22</f>
        <v>51.401707500000001</v>
      </c>
      <c r="C28" s="8">
        <f>C26-C27+'Operating Model'!C11-'Operating Model'!C20-'Operating Model'!C22</f>
        <v>70.094523084375027</v>
      </c>
      <c r="D28" s="8">
        <f>D26-D27+'Operating Model'!D11-'Operating Model'!D20-'Operating Model'!D22</f>
        <v>94.737641317042957</v>
      </c>
      <c r="E28" s="8">
        <f>E26-E27+'Operating Model'!E11-'Operating Model'!E20-'Operating Model'!E22</f>
        <v>124.48757552335934</v>
      </c>
      <c r="F28" s="8">
        <f>F26-F27+'Operating Model'!F11-'Operating Model'!F20-'Operating Model'!F22</f>
        <v>153.80994497143047</v>
      </c>
      <c r="G28" s="8">
        <f>G26-G27+'Operating Model'!G11-'Operating Model'!G20-'Operating Model'!G22</f>
        <v>185.39788465714119</v>
      </c>
    </row>
    <row r="29" spans="1:7" x14ac:dyDescent="0.2">
      <c r="A29" t="s">
        <v>352</v>
      </c>
      <c r="B29" s="8">
        <f>'Operating Model'!B15-B27</f>
        <v>21.986087499999996</v>
      </c>
      <c r="C29" s="8">
        <f>'Operating Model'!C15-C27</f>
        <v>21.139186071874999</v>
      </c>
      <c r="D29" s="8">
        <f>'Operating Model'!D15-D27</f>
        <v>19.856799287902341</v>
      </c>
      <c r="E29" s="8">
        <f>'Operating Model'!E15-E27</f>
        <v>18.001962313743547</v>
      </c>
      <c r="F29" s="8">
        <f>'Operating Model'!F15-F27</f>
        <v>15.459112771926328</v>
      </c>
      <c r="G29" s="8">
        <f>'Operating Model'!G15-G27</f>
        <v>12.245285451135587</v>
      </c>
    </row>
  </sheetData>
  <mergeCells count="1">
    <mergeCell ref="A1:G1"/>
  </mergeCells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04668-74F6-9B40-8B53-9C0C4F430220}">
  <dimension ref="A1:H19"/>
  <sheetViews>
    <sheetView showGridLines="0" workbookViewId="0">
      <pane ySplit="3" topLeftCell="A4" activePane="bottomLeft" state="frozen"/>
      <selection pane="bottomLeft" activeCell="E16" sqref="E16"/>
    </sheetView>
  </sheetViews>
  <sheetFormatPr baseColWidth="10" defaultRowHeight="16" x14ac:dyDescent="0.2"/>
  <cols>
    <col min="1" max="1" width="24.6640625" customWidth="1"/>
    <col min="2" max="2" width="11.6640625" bestFit="1" customWidth="1"/>
    <col min="7" max="7" width="11.6640625" bestFit="1" customWidth="1"/>
  </cols>
  <sheetData>
    <row r="1" spans="1:8" s="4" customFormat="1" ht="22" x14ac:dyDescent="0.3">
      <c r="A1" s="56" t="s">
        <v>150</v>
      </c>
      <c r="B1" s="56"/>
      <c r="C1" s="56"/>
      <c r="D1" s="56"/>
      <c r="E1" s="56"/>
      <c r="F1" s="56"/>
      <c r="G1" s="56"/>
    </row>
    <row r="3" spans="1:8" s="2" customFormat="1" x14ac:dyDescent="0.2">
      <c r="A3" s="2" t="s">
        <v>107</v>
      </c>
      <c r="B3" s="2" t="s">
        <v>133</v>
      </c>
      <c r="C3" s="2" t="s">
        <v>161</v>
      </c>
      <c r="D3" s="2" t="s">
        <v>162</v>
      </c>
      <c r="E3" s="2" t="s">
        <v>163</v>
      </c>
      <c r="F3" s="2" t="s">
        <v>164</v>
      </c>
      <c r="G3" s="2" t="s">
        <v>165</v>
      </c>
    </row>
    <row r="4" spans="1:8" ht="22" x14ac:dyDescent="0.3">
      <c r="A4" s="7" t="s">
        <v>151</v>
      </c>
    </row>
    <row r="5" spans="1:8" x14ac:dyDescent="0.2">
      <c r="A5" t="s">
        <v>152</v>
      </c>
      <c r="B5" s="8">
        <f>Assumptions!C15</f>
        <v>2282.5334349999998</v>
      </c>
      <c r="C5" s="8"/>
      <c r="D5" s="8"/>
      <c r="E5" s="8"/>
      <c r="F5" s="8"/>
      <c r="G5" s="8"/>
      <c r="H5" s="8"/>
    </row>
    <row r="6" spans="1:8" x14ac:dyDescent="0.2">
      <c r="A6" t="s">
        <v>153</v>
      </c>
      <c r="B6" s="8">
        <f>Assumptions!C11</f>
        <v>185.14599999999999</v>
      </c>
      <c r="C6" s="8"/>
      <c r="D6" s="8"/>
      <c r="E6" s="8"/>
      <c r="F6" s="8"/>
      <c r="G6" s="8"/>
      <c r="H6" s="8"/>
    </row>
    <row r="7" spans="1:8" x14ac:dyDescent="0.2">
      <c r="A7" t="s">
        <v>96</v>
      </c>
      <c r="B7" s="8">
        <f>B5/B6</f>
        <v>12.328289214997893</v>
      </c>
      <c r="C7" s="8"/>
      <c r="D7" s="8"/>
      <c r="E7" s="8"/>
      <c r="F7" s="8"/>
      <c r="G7" s="8"/>
      <c r="H7" s="8"/>
    </row>
    <row r="8" spans="1:8" x14ac:dyDescent="0.2">
      <c r="A8" t="s">
        <v>87</v>
      </c>
      <c r="B8" s="8">
        <f>'Sources and Uses '!C12</f>
        <v>1445.9687036999999</v>
      </c>
      <c r="C8" s="8"/>
      <c r="D8" s="8"/>
      <c r="E8" s="8"/>
      <c r="F8" s="8"/>
      <c r="G8" s="8"/>
      <c r="H8" s="8"/>
    </row>
    <row r="9" spans="1:8" x14ac:dyDescent="0.2">
      <c r="B9" s="8"/>
      <c r="C9" s="8"/>
      <c r="D9" s="8"/>
      <c r="E9" s="8"/>
      <c r="F9" s="8"/>
      <c r="G9" s="8"/>
      <c r="H9" s="8"/>
    </row>
    <row r="10" spans="1:8" ht="22" x14ac:dyDescent="0.3">
      <c r="A10" s="7" t="s">
        <v>154</v>
      </c>
      <c r="B10" s="8"/>
      <c r="C10" s="8"/>
      <c r="D10" s="8"/>
      <c r="E10" s="8"/>
      <c r="F10" s="8"/>
      <c r="G10" s="8"/>
      <c r="H10" s="8"/>
    </row>
    <row r="11" spans="1:8" x14ac:dyDescent="0.2">
      <c r="A11" t="s">
        <v>155</v>
      </c>
      <c r="B11" s="8"/>
      <c r="C11" s="8"/>
      <c r="D11" s="8"/>
      <c r="E11" s="8"/>
      <c r="F11" s="8"/>
      <c r="G11" s="8">
        <f>'Operating Model'!G9</f>
        <v>338.48951011131118</v>
      </c>
      <c r="H11" s="8"/>
    </row>
    <row r="12" spans="1:8" x14ac:dyDescent="0.2">
      <c r="A12" t="s">
        <v>160</v>
      </c>
      <c r="B12" s="8"/>
      <c r="C12" s="8"/>
      <c r="D12" s="8"/>
      <c r="E12" s="8"/>
      <c r="F12" s="8"/>
      <c r="G12" s="8">
        <f>G11*Assumptions!K10</f>
        <v>4172.9965768951979</v>
      </c>
      <c r="H12" s="8"/>
    </row>
    <row r="13" spans="1:8" x14ac:dyDescent="0.2">
      <c r="A13" t="s">
        <v>359</v>
      </c>
      <c r="B13" s="8"/>
      <c r="C13" s="8"/>
      <c r="D13" s="8"/>
      <c r="E13" s="8"/>
      <c r="F13" s="8"/>
      <c r="G13" s="8">
        <f>'Debt Schedule'!G9-Assumptions!C27</f>
        <v>325.03717204282657</v>
      </c>
      <c r="H13" s="8"/>
    </row>
    <row r="14" spans="1:8" x14ac:dyDescent="0.2">
      <c r="A14" t="s">
        <v>156</v>
      </c>
      <c r="B14" s="8"/>
      <c r="C14" s="8"/>
      <c r="D14" s="8"/>
      <c r="E14" s="8"/>
      <c r="F14" s="8"/>
      <c r="G14" s="8">
        <f>G12-G13</f>
        <v>3847.9594048523713</v>
      </c>
      <c r="H14" s="8"/>
    </row>
    <row r="15" spans="1:8" x14ac:dyDescent="0.2">
      <c r="B15" s="8"/>
      <c r="C15" s="8"/>
      <c r="D15" s="8"/>
      <c r="E15" s="8"/>
      <c r="F15" s="8"/>
      <c r="G15" s="8"/>
      <c r="H15" s="8"/>
    </row>
    <row r="16" spans="1:8" ht="22" x14ac:dyDescent="0.3">
      <c r="A16" s="7" t="s">
        <v>157</v>
      </c>
      <c r="B16" s="8"/>
      <c r="C16" s="8"/>
      <c r="D16" s="8"/>
      <c r="E16" s="8"/>
      <c r="F16" s="8"/>
      <c r="G16" s="8"/>
      <c r="H16" s="8"/>
    </row>
    <row r="17" spans="1:8" x14ac:dyDescent="0.2">
      <c r="A17" t="s">
        <v>158</v>
      </c>
      <c r="B17" s="8"/>
      <c r="C17" s="8"/>
      <c r="D17" s="8"/>
      <c r="E17" s="8"/>
      <c r="F17" s="8"/>
      <c r="G17" s="8">
        <f>G14/B8</f>
        <v>2.6611636856358412</v>
      </c>
      <c r="H17" s="8"/>
    </row>
    <row r="18" spans="1:8" x14ac:dyDescent="0.2">
      <c r="A18" t="s">
        <v>159</v>
      </c>
      <c r="B18" s="8"/>
      <c r="C18" s="8"/>
      <c r="D18" s="8"/>
      <c r="E18" s="8"/>
      <c r="F18" s="8"/>
      <c r="G18" s="8">
        <f>G17^(1/Assumptions!K11)-1</f>
        <v>0.21622609614047961</v>
      </c>
      <c r="H18" s="8"/>
    </row>
    <row r="19" spans="1:8" x14ac:dyDescent="0.2">
      <c r="B19" s="8"/>
      <c r="C19" s="8"/>
      <c r="D19" s="8"/>
      <c r="E19" s="8"/>
      <c r="F19" s="8"/>
      <c r="G19" s="8"/>
      <c r="H19" s="8"/>
    </row>
  </sheetData>
  <mergeCells count="1">
    <mergeCell ref="A1:G1"/>
  </mergeCells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38D6D-20C4-F04E-8718-DF802D37FE95}">
  <dimension ref="A1:G10"/>
  <sheetViews>
    <sheetView showGridLines="0" tabSelected="1" zoomScale="94" workbookViewId="0">
      <selection activeCell="E17" sqref="E17"/>
    </sheetView>
  </sheetViews>
  <sheetFormatPr baseColWidth="10" defaultRowHeight="16" x14ac:dyDescent="0.2"/>
  <cols>
    <col min="1" max="1" width="25.6640625" customWidth="1"/>
    <col min="2" max="2" width="17.1640625" customWidth="1"/>
  </cols>
  <sheetData>
    <row r="1" spans="1:7" s="4" customFormat="1" ht="22" x14ac:dyDescent="0.3">
      <c r="A1" s="39" t="s">
        <v>338</v>
      </c>
      <c r="B1" s="40"/>
      <c r="C1" s="40"/>
      <c r="D1" s="40"/>
      <c r="E1" s="40"/>
      <c r="F1" s="40"/>
      <c r="G1" s="40"/>
    </row>
    <row r="3" spans="1:7" s="2" customFormat="1" x14ac:dyDescent="0.2">
      <c r="A3" s="2" t="s">
        <v>320</v>
      </c>
      <c r="B3" s="2" t="s">
        <v>330</v>
      </c>
      <c r="C3" s="2" t="s">
        <v>321</v>
      </c>
    </row>
    <row r="4" spans="1:7" x14ac:dyDescent="0.2">
      <c r="A4" t="s">
        <v>322</v>
      </c>
      <c r="B4">
        <f>('Operating Model'!G5-'Operating Model'!B5)*'Operating Model'!B8*Returns!B7</f>
        <v>1086.4949703266441</v>
      </c>
      <c r="C4">
        <f>B4/$B$9</f>
        <v>0.45233104766200416</v>
      </c>
    </row>
    <row r="5" spans="1:7" x14ac:dyDescent="0.2">
      <c r="A5" t="s">
        <v>323</v>
      </c>
      <c r="B5">
        <f>'Operating Model'!G5*('Operating Model'!G8-'Operating Model'!B8)*Returns!B7</f>
        <v>803.96817156855434</v>
      </c>
      <c r="C5">
        <f>B5/$B$9</f>
        <v>0.33470911073171311</v>
      </c>
    </row>
    <row r="6" spans="1:7" x14ac:dyDescent="0.2">
      <c r="A6" t="s">
        <v>324</v>
      </c>
      <c r="B6">
        <f>(Assumptions!K10-Returns!B7)*Returns!G11</f>
        <v>0</v>
      </c>
      <c r="C6">
        <f>IF($B$9=0,0,B6/$B$9)</f>
        <v>0</v>
      </c>
    </row>
    <row r="7" spans="1:7" x14ac:dyDescent="0.2">
      <c r="A7" t="s">
        <v>325</v>
      </c>
      <c r="B7">
        <f>Assumptions!C24-'Debt Schedule'!G9</f>
        <v>575.69282795717334</v>
      </c>
      <c r="C7">
        <f>B7/$B$9</f>
        <v>0.23967321259028221</v>
      </c>
    </row>
    <row r="8" spans="1:7" x14ac:dyDescent="0.2">
      <c r="A8" t="s">
        <v>326</v>
      </c>
      <c r="B8">
        <f>-('Sources and Uses '!C6+'Sources and Uses '!C7)</f>
        <v>-64.165268699999999</v>
      </c>
      <c r="C8">
        <f>B8/$B$9</f>
        <v>-2.6713370983999344E-2</v>
      </c>
    </row>
    <row r="9" spans="1:7" x14ac:dyDescent="0.2">
      <c r="A9" t="s">
        <v>329</v>
      </c>
      <c r="B9" s="8">
        <f>Returns!G14-Returns!B8</f>
        <v>2401.9907011523715</v>
      </c>
      <c r="C9" s="38">
        <f>1</f>
        <v>1</v>
      </c>
    </row>
    <row r="10" spans="1:7" x14ac:dyDescent="0.2">
      <c r="A10" t="s">
        <v>331</v>
      </c>
      <c r="B10" s="8">
        <f>SUM(B4:B8)-B9</f>
        <v>0</v>
      </c>
      <c r="C10" t="str">
        <f>IF(ABS(B10)&lt;0.1,"PASS","FAIL")</f>
        <v>PASS</v>
      </c>
    </row>
  </sheetData>
  <mergeCells count="1"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BC26B-A8D5-2544-A8F6-667462D96ABB}">
  <dimension ref="A1:H24"/>
  <sheetViews>
    <sheetView showGridLines="0" workbookViewId="0">
      <pane ySplit="3" topLeftCell="A4" activePane="bottomLeft" state="frozen"/>
      <selection pane="bottomLeft" activeCell="F5" sqref="F5"/>
    </sheetView>
  </sheetViews>
  <sheetFormatPr baseColWidth="10" defaultRowHeight="16" x14ac:dyDescent="0.2"/>
  <cols>
    <col min="1" max="1" width="21.6640625" customWidth="1"/>
  </cols>
  <sheetData>
    <row r="1" spans="1:8" s="2" customFormat="1" ht="22" x14ac:dyDescent="0.3">
      <c r="A1" s="56" t="s">
        <v>166</v>
      </c>
      <c r="B1" s="56"/>
      <c r="C1" s="56"/>
      <c r="D1" s="56"/>
      <c r="E1" s="56"/>
      <c r="F1" s="56"/>
      <c r="G1" s="56"/>
    </row>
    <row r="3" spans="1:8" s="26" customFormat="1" ht="22" x14ac:dyDescent="0.3">
      <c r="A3" s="56" t="s">
        <v>167</v>
      </c>
      <c r="B3" s="56"/>
      <c r="C3" s="56"/>
      <c r="D3" s="56"/>
      <c r="E3" s="56"/>
      <c r="F3" s="56"/>
      <c r="G3" s="56"/>
    </row>
    <row r="5" spans="1:8" x14ac:dyDescent="0.2">
      <c r="A5" s="19" t="s">
        <v>96</v>
      </c>
      <c r="B5" s="66">
        <f>Returns!B7</f>
        <v>12.328289214997893</v>
      </c>
      <c r="C5" s="19"/>
    </row>
    <row r="6" spans="1:8" x14ac:dyDescent="0.2">
      <c r="A6" s="19" t="s">
        <v>168</v>
      </c>
      <c r="B6" s="1">
        <f>Assumptions!K10</f>
        <v>12.328289214997893</v>
      </c>
    </row>
    <row r="7" spans="1:8" x14ac:dyDescent="0.2">
      <c r="A7" s="19" t="s">
        <v>169</v>
      </c>
      <c r="B7" s="1">
        <f>('Operating Model'!G5/'Operating Model'!B5)^(1/Assumptions!K11)-1</f>
        <v>8.0979617006254223E-2</v>
      </c>
    </row>
    <row r="8" spans="1:8" x14ac:dyDescent="0.2">
      <c r="A8" s="19" t="s">
        <v>170</v>
      </c>
      <c r="B8" s="13">
        <f>'Operating Model'!G8-'Operating Model'!B8</f>
        <v>6.1651096558855034E-2</v>
      </c>
      <c r="C8" s="19"/>
    </row>
    <row r="10" spans="1:8" ht="22" x14ac:dyDescent="0.3">
      <c r="A10" s="60" t="s">
        <v>171</v>
      </c>
      <c r="B10" s="60"/>
      <c r="C10" s="60"/>
    </row>
    <row r="11" spans="1:8" x14ac:dyDescent="0.2">
      <c r="A11" s="62" t="s">
        <v>172</v>
      </c>
      <c r="B11" s="62"/>
      <c r="C11" s="36">
        <v>0.28000000000000003</v>
      </c>
      <c r="D11" s="36">
        <v>0.3</v>
      </c>
      <c r="E11" s="36">
        <v>0.32</v>
      </c>
      <c r="F11" s="36">
        <v>0.34</v>
      </c>
      <c r="G11" s="36">
        <v>0.36</v>
      </c>
      <c r="H11" s="23"/>
    </row>
    <row r="12" spans="1:8" x14ac:dyDescent="0.2">
      <c r="A12" s="62" t="s">
        <v>173</v>
      </c>
      <c r="B12" s="63"/>
      <c r="C12" s="28">
        <f>((('Operating Model'!$G$5*C$11*VALUE(SUBSTITUTE($A12,"x","")))-Returns!$G$13)/Returns!$B$8)^(1/Assumptions!$K$11)-1</f>
        <v>0.12766962365469814</v>
      </c>
      <c r="D12" s="28">
        <f>((('Operating Model'!$G$5*D$11*VALUE(SUBSTITUTE($A12,"x","")))-Returns!$G$13)/Returns!$B$8)^(1/Assumptions!$K$11)-1</f>
        <v>0.14521078112961439</v>
      </c>
      <c r="E12" s="28">
        <f>((('Operating Model'!$G$5*E$11*VALUE(SUBSTITUTE($A12,"x","")))-Returns!$G$13)/Returns!$B$8)^(1/Assumptions!$K$11)-1</f>
        <v>0.16173874535090493</v>
      </c>
      <c r="F12" s="28">
        <f>((('Operating Model'!$G$5*F$11*VALUE(SUBSTITUTE($A12,"x","")))-Returns!$G$13)/Returns!$B$8)^(1/Assumptions!$K$11)-1</f>
        <v>0.17737638166123082</v>
      </c>
      <c r="G12" s="28">
        <f>((('Operating Model'!$G$5*G$11*VALUE(SUBSTITUTE($A12,"x","")))-Returns!$G$13)/Returns!$B$8)^(1/Assumptions!$K$11)-1</f>
        <v>0.19222483290185921</v>
      </c>
    </row>
    <row r="13" spans="1:8" x14ac:dyDescent="0.2">
      <c r="A13" s="62" t="s">
        <v>174</v>
      </c>
      <c r="B13" s="63"/>
      <c r="C13" s="28">
        <f>((('Operating Model'!$G$5*C$11*VALUE(SUBSTITUTE($A13,"x","")))-Returns!$G$13)/Returns!$B$8)^(1/Assumptions!$K$11)-1</f>
        <v>0.1519361141108202</v>
      </c>
      <c r="D13" s="28">
        <f>((('Operating Model'!$G$5*D$11*VALUE(SUBSTITUTE($A13,"x","")))-Returns!$G$13)/Returns!$B$8)^(1/Assumptions!$K$11)-1</f>
        <v>0.16966208911267211</v>
      </c>
      <c r="E13" s="28">
        <f>((('Operating Model'!$G$5*E$11*VALUE(SUBSTITUTE($A13,"x","")))-Returns!$G$13)/Returns!$B$8)^(1/Assumptions!$K$11)-1</f>
        <v>0.18637442785403202</v>
      </c>
      <c r="F13" s="28">
        <f>((('Operating Model'!$G$5*F$11*VALUE(SUBSTITUTE($A13,"x","")))-Returns!$G$13)/Returns!$B$8)^(1/Assumptions!$K$11)-1</f>
        <v>0.20219490190924327</v>
      </c>
      <c r="G13" s="28">
        <f>((('Operating Model'!$G$5*G$11*VALUE(SUBSTITUTE($A13,"x","")))-Returns!$G$13)/Returns!$B$8)^(1/Assumptions!$K$11)-1</f>
        <v>0.21722394228321296</v>
      </c>
    </row>
    <row r="14" spans="1:8" x14ac:dyDescent="0.2">
      <c r="A14" s="62" t="s">
        <v>175</v>
      </c>
      <c r="B14" s="63"/>
      <c r="C14" s="28">
        <f>((('Operating Model'!$G$5*C$11*VALUE(SUBSTITUTE($A14,"x","")))-Returns!$G$13)/Returns!$B$8)^(1/Assumptions!$K$11)-1</f>
        <v>0.17431495710294587</v>
      </c>
      <c r="D14" s="28">
        <f>((('Operating Model'!$G$5*D$11*VALUE(SUBSTITUTE($A14,"x","")))-Returns!$G$13)/Returns!$B$8)^(1/Assumptions!$K$11)-1</f>
        <v>0.19222483290185921</v>
      </c>
      <c r="E14" s="28">
        <f>((('Operating Model'!$G$5*E$11*VALUE(SUBSTITUTE($A14,"x","")))-Returns!$G$13)/Returns!$B$8)^(1/Assumptions!$K$11)-1</f>
        <v>0.20911901493384777</v>
      </c>
      <c r="F14" s="28">
        <f>((('Operating Model'!$G$5*F$11*VALUE(SUBSTITUTE($A14,"x","")))-Returns!$G$13)/Returns!$B$8)^(1/Assumptions!$K$11)-1</f>
        <v>0.22511858006289454</v>
      </c>
      <c r="G14" s="28">
        <f>((('Operating Model'!$G$5*G$11*VALUE(SUBSTITUTE($A14,"x","")))-Returns!$G$13)/Returns!$B$8)^(1/Assumptions!$K$11)-1</f>
        <v>0.24032354006916345</v>
      </c>
    </row>
    <row r="15" spans="1:8" x14ac:dyDescent="0.2">
      <c r="A15" s="62" t="s">
        <v>176</v>
      </c>
      <c r="B15" s="63"/>
      <c r="C15" s="28">
        <f>((('Operating Model'!$G$5*C$11*VALUE(SUBSTITUTE($A15,"x","")))-Returns!$G$13)/Returns!$B$8)^(1/Assumptions!$K$11)-1</f>
        <v>0.1951074936248105</v>
      </c>
      <c r="D15" s="28">
        <f>((('Operating Model'!$G$5*D$11*VALUE(SUBSTITUTE($A15,"x","")))-Returns!$G$13)/Returns!$B$8)^(1/Assumptions!$K$11)-1</f>
        <v>0.21319855115483977</v>
      </c>
      <c r="E15" s="28">
        <f>((('Operating Model'!$G$5*E$11*VALUE(SUBSTITUTE($A15,"x","")))-Returns!$G$13)/Returns!$B$8)^(1/Assumptions!$K$11)-1</f>
        <v>0.23027075996975244</v>
      </c>
      <c r="F15" s="28">
        <f>((('Operating Model'!$G$5*F$11*VALUE(SUBSTITUTE($A15,"x","")))-Returns!$G$13)/Returns!$B$8)^(1/Assumptions!$K$11)-1</f>
        <v>0.24644478490246025</v>
      </c>
      <c r="G15" s="28">
        <f>((('Operating Model'!$G$5*G$11*VALUE(SUBSTITUTE($A15,"x","")))-Returns!$G$13)/Returns!$B$8)^(1/Assumptions!$K$11)-1</f>
        <v>0.26182042530329142</v>
      </c>
    </row>
    <row r="16" spans="1:8" x14ac:dyDescent="0.2">
      <c r="A16" s="62" t="s">
        <v>177</v>
      </c>
      <c r="B16" s="63"/>
      <c r="C16" s="28">
        <f>((('Operating Model'!$G$5*C$11*VALUE(SUBSTITUTE($A16,"x","")))-Returns!$G$13)/Returns!$B$8)^(1/Assumptions!$K$11)-1</f>
        <v>0.2145462842508834</v>
      </c>
      <c r="D16" s="28">
        <f>((('Operating Model'!$G$5*D$11*VALUE(SUBSTITUTE($A16,"x","")))-Returns!$G$13)/Returns!$B$8)^(1/Assumptions!$K$11)-1</f>
        <v>0.23281482014137977</v>
      </c>
      <c r="E16" s="28">
        <f>((('Operating Model'!$G$5*E$11*VALUE(SUBSTITUTE($A16,"x","")))-Returns!$G$13)/Returns!$B$8)^(1/Assumptions!$K$11)-1</f>
        <v>0.25006059591886909</v>
      </c>
      <c r="F16" s="28">
        <f>((('Operating Model'!$G$5*F$11*VALUE(SUBSTITUTE($A16,"x","")))-Returns!$G$13)/Returns!$B$8)^(1/Assumptions!$K$11)-1</f>
        <v>0.26640406966700159</v>
      </c>
      <c r="G16" s="28">
        <f>((('Operating Model'!$G$5*G$11*VALUE(SUBSTITUTE($A16,"x","")))-Returns!$G$13)/Returns!$B$8)^(1/Assumptions!$K$11)-1</f>
        <v>0.28194497795773321</v>
      </c>
    </row>
    <row r="18" spans="1:7" ht="22" x14ac:dyDescent="0.3">
      <c r="A18" s="60" t="s">
        <v>178</v>
      </c>
      <c r="B18" s="60"/>
    </row>
    <row r="19" spans="1:7" x14ac:dyDescent="0.2">
      <c r="A19" s="62" t="s">
        <v>172</v>
      </c>
      <c r="B19" s="62"/>
      <c r="C19" s="36">
        <v>0.28000000000000003</v>
      </c>
      <c r="D19" s="36">
        <v>0.3</v>
      </c>
      <c r="E19" s="36">
        <v>0.32</v>
      </c>
      <c r="F19" s="36">
        <v>0.34</v>
      </c>
      <c r="G19" s="36">
        <v>0.36</v>
      </c>
    </row>
    <row r="20" spans="1:7" x14ac:dyDescent="0.2">
      <c r="A20" s="62" t="s">
        <v>173</v>
      </c>
      <c r="B20" s="63"/>
      <c r="C20" s="35">
        <f>((('Operating Model'!$G$5*C$19*VALUE(SUBSTITUTE($A20,"x","")))-Returns!$G$13)/Returns!$B$8)</f>
        <v>1.8235152909493406</v>
      </c>
      <c r="D20" s="35">
        <f>((('Operating Model'!$G$5*D$19*VALUE(SUBSTITUTE($A20,"x","")))-Returns!$G$13)/Returns!$B$8)</f>
        <v>1.9698227063714253</v>
      </c>
      <c r="E20" s="35">
        <f>((('Operating Model'!$G$5*E$19*VALUE(SUBSTITUTE($A20,"x","")))-Returns!$G$13)/Returns!$B$8)</f>
        <v>2.1161301217935105</v>
      </c>
      <c r="F20" s="35">
        <f>((('Operating Model'!$G$5*F$19*VALUE(SUBSTITUTE($A20,"x","")))-Returns!$G$13)/Returns!$B$8)</f>
        <v>2.2624375372155958</v>
      </c>
      <c r="G20" s="35">
        <f>((('Operating Model'!$G$5*G$19*VALUE(SUBSTITUTE($A20,"x","")))-Returns!$G$13)/Returns!$B$8)</f>
        <v>2.4087449526376803</v>
      </c>
    </row>
    <row r="21" spans="1:7" x14ac:dyDescent="0.2">
      <c r="A21" s="62" t="s">
        <v>174</v>
      </c>
      <c r="B21" s="63"/>
      <c r="C21" s="35">
        <f>((('Operating Model'!$G$5*C$19*VALUE(SUBSTITUTE($A21,"x","")))-Returns!$G$13)/Returns!$B$8)</f>
        <v>2.0283456725402598</v>
      </c>
      <c r="D21" s="35">
        <f>((('Operating Model'!$G$5*D$19*VALUE(SUBSTITUTE($A21,"x","")))-Returns!$G$13)/Returns!$B$8)</f>
        <v>2.1892838295045527</v>
      </c>
      <c r="E21" s="35">
        <f>((('Operating Model'!$G$5*E$19*VALUE(SUBSTITUTE($A21,"x","")))-Returns!$G$13)/Returns!$B$8)</f>
        <v>2.3502219864688461</v>
      </c>
      <c r="F21" s="35">
        <f>((('Operating Model'!$G$5*F$19*VALUE(SUBSTITUTE($A21,"x","")))-Returns!$G$13)/Returns!$B$8)</f>
        <v>2.5111601434331399</v>
      </c>
      <c r="G21" s="35">
        <f>((('Operating Model'!$G$5*G$19*VALUE(SUBSTITUTE($A21,"x","")))-Returns!$G$13)/Returns!$B$8)</f>
        <v>2.6720983003974328</v>
      </c>
    </row>
    <row r="22" spans="1:7" x14ac:dyDescent="0.2">
      <c r="A22" s="62" t="s">
        <v>175</v>
      </c>
      <c r="B22" s="63"/>
      <c r="C22" s="35">
        <f>((('Operating Model'!$G$5*C$19*VALUE(SUBSTITUTE($A22,"x","")))-Returns!$G$13)/Returns!$B$8)</f>
        <v>2.2331760541311785</v>
      </c>
      <c r="D22" s="35">
        <f>((('Operating Model'!$G$5*D$19*VALUE(SUBSTITUTE($A22,"x","")))-Returns!$G$13)/Returns!$B$8)</f>
        <v>2.4087449526376803</v>
      </c>
      <c r="E22" s="35">
        <f>((('Operating Model'!$G$5*E$19*VALUE(SUBSTITUTE($A22,"x","")))-Returns!$G$13)/Returns!$B$8)</f>
        <v>2.5843138511441826</v>
      </c>
      <c r="F22" s="35">
        <f>((('Operating Model'!$G$5*F$19*VALUE(SUBSTITUTE($A22,"x","")))-Returns!$G$13)/Returns!$B$8)</f>
        <v>2.7598827496506839</v>
      </c>
      <c r="G22" s="35">
        <f>((('Operating Model'!$G$5*G$19*VALUE(SUBSTITUTE($A22,"x","")))-Returns!$G$13)/Returns!$B$8)</f>
        <v>2.9354516481571862</v>
      </c>
    </row>
    <row r="23" spans="1:7" x14ac:dyDescent="0.2">
      <c r="A23" s="62" t="s">
        <v>176</v>
      </c>
      <c r="B23" s="63"/>
      <c r="C23" s="35">
        <f>((('Operating Model'!$G$5*C$19*VALUE(SUBSTITUTE($A23,"x","")))-Returns!$G$13)/Returns!$B$8)</f>
        <v>2.4380064357220972</v>
      </c>
      <c r="D23" s="35">
        <f>((('Operating Model'!$G$5*D$19*VALUE(SUBSTITUTE($A23,"x","")))-Returns!$G$13)/Returns!$B$8)</f>
        <v>2.6282060757708074</v>
      </c>
      <c r="E23" s="35">
        <f>((('Operating Model'!$G$5*E$19*VALUE(SUBSTITUTE($A23,"x","")))-Returns!$G$13)/Returns!$B$8)</f>
        <v>2.8184057158195177</v>
      </c>
      <c r="F23" s="35">
        <f>((('Operating Model'!$G$5*F$19*VALUE(SUBSTITUTE($A23,"x","")))-Returns!$G$13)/Returns!$B$8)</f>
        <v>3.0086053558682284</v>
      </c>
      <c r="G23" s="35">
        <f>((('Operating Model'!$G$5*G$19*VALUE(SUBSTITUTE($A23,"x","")))-Returns!$G$13)/Returns!$B$8)</f>
        <v>3.1988049959169391</v>
      </c>
    </row>
    <row r="24" spans="1:7" x14ac:dyDescent="0.2">
      <c r="A24" s="62" t="s">
        <v>177</v>
      </c>
      <c r="B24" s="63"/>
      <c r="C24" s="35">
        <f>((('Operating Model'!$G$5*C$19*VALUE(SUBSTITUTE($A24,"x","")))-Returns!$G$13)/Returns!$B$8)</f>
        <v>2.6428368173130163</v>
      </c>
      <c r="D24" s="35">
        <f>((('Operating Model'!$G$5*D$19*VALUE(SUBSTITUTE($A24,"x","")))-Returns!$G$13)/Returns!$B$8)</f>
        <v>2.847667198903935</v>
      </c>
      <c r="E24" s="35">
        <f>((('Operating Model'!$G$5*E$19*VALUE(SUBSTITUTE($A24,"x","")))-Returns!$G$13)/Returns!$B$8)</f>
        <v>3.0524975804948538</v>
      </c>
      <c r="F24" s="35">
        <f>((('Operating Model'!$G$5*F$19*VALUE(SUBSTITUTE($A24,"x","")))-Returns!$G$13)/Returns!$B$8)</f>
        <v>3.2573279620857729</v>
      </c>
      <c r="G24" s="35">
        <f>((('Operating Model'!$G$5*G$19*VALUE(SUBSTITUTE($A24,"x","")))-Returns!$G$13)/Returns!$B$8)</f>
        <v>3.4621583436766916</v>
      </c>
    </row>
  </sheetData>
  <mergeCells count="16">
    <mergeCell ref="A20:B20"/>
    <mergeCell ref="A21:B21"/>
    <mergeCell ref="A22:B22"/>
    <mergeCell ref="A23:B23"/>
    <mergeCell ref="A24:B24"/>
    <mergeCell ref="A10:C10"/>
    <mergeCell ref="A11:B11"/>
    <mergeCell ref="A18:B18"/>
    <mergeCell ref="A19:B19"/>
    <mergeCell ref="A12:B12"/>
    <mergeCell ref="A13:B13"/>
    <mergeCell ref="A14:B14"/>
    <mergeCell ref="A15:B15"/>
    <mergeCell ref="A16:B16"/>
    <mergeCell ref="A1:G1"/>
    <mergeCell ref="A3:G3"/>
  </mergeCells>
  <conditionalFormatting sqref="C12:G16">
    <cfRule type="cellIs" dxfId="8" priority="1" operator="lessThan">
      <formula>0.1</formula>
    </cfRule>
    <cfRule type="cellIs" dxfId="7" priority="2" operator="between">
      <formula>0.1</formula>
      <formula>0.15</formula>
    </cfRule>
    <cfRule type="cellIs" dxfId="6" priority="3" operator="between">
      <formula>0.15</formula>
      <formula>0.2</formula>
    </cfRule>
    <cfRule type="cellIs" dxfId="5" priority="4" operator="between">
      <formula>0.2</formula>
      <formula>0.25</formula>
    </cfRule>
    <cfRule type="cellIs" dxfId="4" priority="5" operator="greaterThan">
      <formula>0.25</formula>
    </cfRule>
  </conditionalFormatting>
  <conditionalFormatting sqref="C20:G24">
    <cfRule type="cellIs" dxfId="3" priority="6" operator="lessThan">
      <formula>1.5</formula>
    </cfRule>
    <cfRule type="cellIs" dxfId="2" priority="7" operator="between">
      <formula>1.5</formula>
      <formula>2</formula>
    </cfRule>
    <cfRule type="cellIs" dxfId="1" priority="8" operator="between">
      <formula>2</formula>
      <formula>2.5</formula>
    </cfRule>
    <cfRule type="cellIs" dxfId="0" priority="9" operator="greaterThan">
      <formula>2.5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038B4-57B1-3E41-8C96-931782336F8A}">
  <dimension ref="A1:G29"/>
  <sheetViews>
    <sheetView showGridLines="0" workbookViewId="0">
      <pane ySplit="1" topLeftCell="A2" activePane="bottomLeft" state="frozen"/>
      <selection pane="bottomLeft" activeCell="H16" sqref="H16"/>
    </sheetView>
  </sheetViews>
  <sheetFormatPr baseColWidth="10" defaultRowHeight="16" x14ac:dyDescent="0.2"/>
  <cols>
    <col min="1" max="1" width="29.6640625" customWidth="1"/>
    <col min="2" max="2" width="10.83203125" style="1"/>
  </cols>
  <sheetData>
    <row r="1" spans="1:7" s="2" customFormat="1" ht="22" x14ac:dyDescent="0.3">
      <c r="A1" s="56" t="s">
        <v>179</v>
      </c>
      <c r="B1" s="56"/>
      <c r="C1" s="56"/>
      <c r="D1" s="56"/>
      <c r="E1" s="56"/>
      <c r="F1" s="56"/>
      <c r="G1" s="56"/>
    </row>
    <row r="3" spans="1:7" ht="22" x14ac:dyDescent="0.3">
      <c r="A3" s="7" t="s">
        <v>180</v>
      </c>
    </row>
    <row r="4" spans="1:7" x14ac:dyDescent="0.2">
      <c r="A4" t="s">
        <v>181</v>
      </c>
      <c r="B4" s="29">
        <f>Assumptions!C15</f>
        <v>2282.5334349999998</v>
      </c>
    </row>
    <row r="5" spans="1:7" x14ac:dyDescent="0.2">
      <c r="A5" t="s">
        <v>182</v>
      </c>
      <c r="B5" s="29">
        <f>Assumptions!C10</f>
        <v>716.65099999999995</v>
      </c>
    </row>
    <row r="6" spans="1:7" x14ac:dyDescent="0.2">
      <c r="A6" t="s">
        <v>118</v>
      </c>
      <c r="B6" s="29">
        <f>Assumptions!C11</f>
        <v>185.14599999999999</v>
      </c>
    </row>
    <row r="7" spans="1:7" x14ac:dyDescent="0.2">
      <c r="A7" t="s">
        <v>183</v>
      </c>
      <c r="B7" s="30">
        <f>Assumptions!C14</f>
        <v>12.328289214997893</v>
      </c>
    </row>
    <row r="9" spans="1:7" ht="22" x14ac:dyDescent="0.3">
      <c r="A9" s="7" t="s">
        <v>184</v>
      </c>
    </row>
    <row r="10" spans="1:7" x14ac:dyDescent="0.2">
      <c r="A10" t="s">
        <v>185</v>
      </c>
      <c r="B10" s="29">
        <f>Assumptions!C24</f>
        <v>925.7299999999999</v>
      </c>
    </row>
    <row r="11" spans="1:7" x14ac:dyDescent="0.2">
      <c r="A11" t="s">
        <v>186</v>
      </c>
      <c r="B11" s="29">
        <f>'Sources and Uses '!C12</f>
        <v>1445.9687036999999</v>
      </c>
    </row>
    <row r="12" spans="1:7" x14ac:dyDescent="0.2">
      <c r="A12" t="s">
        <v>187</v>
      </c>
      <c r="B12" s="31">
        <f>B10/(B10+B11)</f>
        <v>0.39032361005881672</v>
      </c>
    </row>
    <row r="13" spans="1:7" x14ac:dyDescent="0.2">
      <c r="A13" t="s">
        <v>188</v>
      </c>
      <c r="B13" s="31">
        <f>B11/(B10+B11)</f>
        <v>0.60967638994118323</v>
      </c>
    </row>
    <row r="15" spans="1:7" ht="22" x14ac:dyDescent="0.3">
      <c r="A15" s="7" t="s">
        <v>189</v>
      </c>
    </row>
    <row r="16" spans="1:7" x14ac:dyDescent="0.2">
      <c r="A16" t="s">
        <v>190</v>
      </c>
      <c r="B16" s="29">
        <f>Returns!G12</f>
        <v>4172.9965768951979</v>
      </c>
    </row>
    <row r="17" spans="1:5" x14ac:dyDescent="0.2">
      <c r="A17" t="s">
        <v>191</v>
      </c>
      <c r="B17" s="29">
        <f>Returns!G14</f>
        <v>3847.9594048523713</v>
      </c>
    </row>
    <row r="18" spans="1:5" x14ac:dyDescent="0.2">
      <c r="A18" t="s">
        <v>158</v>
      </c>
      <c r="B18" s="30">
        <f>Returns!G17</f>
        <v>2.6611636856358412</v>
      </c>
    </row>
    <row r="19" spans="1:5" x14ac:dyDescent="0.2">
      <c r="A19" t="s">
        <v>192</v>
      </c>
      <c r="B19" s="31">
        <f>Returns!G18</f>
        <v>0.21622609614047961</v>
      </c>
    </row>
    <row r="21" spans="1:5" ht="22" x14ac:dyDescent="0.3">
      <c r="A21" s="7" t="s">
        <v>193</v>
      </c>
    </row>
    <row r="22" spans="1:5" x14ac:dyDescent="0.2">
      <c r="A22" s="61" t="s">
        <v>195</v>
      </c>
      <c r="B22" s="61"/>
      <c r="C22" s="61"/>
      <c r="D22" s="61"/>
      <c r="E22" s="61"/>
    </row>
    <row r="23" spans="1:5" x14ac:dyDescent="0.2">
      <c r="A23" s="61" t="s">
        <v>196</v>
      </c>
      <c r="B23" s="61"/>
      <c r="C23" s="61"/>
      <c r="D23" s="61"/>
      <c r="E23" s="61"/>
    </row>
    <row r="24" spans="1:5" x14ac:dyDescent="0.2">
      <c r="A24" s="61" t="s">
        <v>197</v>
      </c>
      <c r="B24" s="61"/>
      <c r="C24" s="61"/>
      <c r="D24" s="61"/>
      <c r="E24" s="61"/>
    </row>
    <row r="26" spans="1:5" ht="22" x14ac:dyDescent="0.3">
      <c r="A26" s="7" t="s">
        <v>194</v>
      </c>
    </row>
    <row r="27" spans="1:5" x14ac:dyDescent="0.2">
      <c r="A27" s="61" t="s">
        <v>198</v>
      </c>
      <c r="B27" s="61"/>
      <c r="C27" s="61"/>
      <c r="D27" s="61"/>
      <c r="E27" s="19"/>
    </row>
    <row r="28" spans="1:5" x14ac:dyDescent="0.2">
      <c r="A28" s="61" t="s">
        <v>199</v>
      </c>
      <c r="B28" s="61"/>
      <c r="C28" s="61"/>
      <c r="D28" s="61"/>
      <c r="E28" s="19"/>
    </row>
    <row r="29" spans="1:5" x14ac:dyDescent="0.2">
      <c r="A29" s="61" t="s">
        <v>200</v>
      </c>
      <c r="B29" s="61"/>
      <c r="C29" s="61"/>
      <c r="D29" s="61"/>
      <c r="E29" s="61"/>
    </row>
  </sheetData>
  <mergeCells count="7">
    <mergeCell ref="A29:E29"/>
    <mergeCell ref="A1:G1"/>
    <mergeCell ref="A22:E22"/>
    <mergeCell ref="A23:E23"/>
    <mergeCell ref="A24:E24"/>
    <mergeCell ref="A27:D27"/>
    <mergeCell ref="A28:D2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69EAB-03D9-584B-BD0B-CA25E2501D9D}">
  <dimension ref="A1"/>
  <sheetViews>
    <sheetView workbookViewId="0"/>
  </sheetViews>
  <sheetFormatPr baseColWidth="10" defaultRowHeight="16" x14ac:dyDescent="0.2"/>
  <sheetData>
    <row r="1" spans="1:1" x14ac:dyDescent="0.2">
      <c r="A1" t="s">
        <v>246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382F7-44FC-894A-8F15-8F7ABEB7DBC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Assumptions</vt:lpstr>
      <vt:lpstr>Sources</vt:lpstr>
      <vt:lpstr>Sources and Uses </vt:lpstr>
      <vt:lpstr>Operating Model</vt:lpstr>
      <vt:lpstr>Debt Schedule</vt:lpstr>
      <vt:lpstr>Returns</vt:lpstr>
      <vt:lpstr>Valuation Bridge</vt:lpstr>
      <vt:lpstr>Sensitivity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Tejasvi </dc:creator>
  <cp:lastModifiedBy>Tejasvi </cp:lastModifiedBy>
  <dcterms:created xsi:type="dcterms:W3CDTF">2026-07-02T16:46:32Z</dcterms:created>
  <dcterms:modified xsi:type="dcterms:W3CDTF">2026-07-25T18:56:57Z</dcterms:modified>
</cp:coreProperties>
</file>