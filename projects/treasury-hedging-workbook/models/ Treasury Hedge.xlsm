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3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xl/ctrlProps/ctrlProps2.xml" ContentType="application/vnd.ms-excel.controlproperties+xml"/>
  <Override PartName="/xl/drawings/drawing1.xml" ContentType="application/vnd.openxmlformats-officedocument.drawing+xml"/>
  <Override PartName="/xl/drawings/vmlDrawing1.vml" ContentType="application/vnd.openxmlformats-officedocument.vmlDrawin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Cover" sheetId="1" state="visible" r:id="rId4"/>
    <sheet name="Executive Summary" sheetId="2" state="visible" r:id="rId5"/>
    <sheet name="Portfolio" sheetId="3" state="visible" r:id="rId6"/>
    <sheet name="Futures Tracking" sheetId="4" state="visible" r:id="rId7"/>
    <sheet name="Hedge Calc " sheetId="5" state="visible" r:id="rId8"/>
    <sheet name="Trade Log " sheetId="6" state="visible" r:id="rId9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<sst xmlns="http://schemas.openxmlformats.org/spreadsheetml/2006/main" count="213" uniqueCount="139">
  <si>
    <t xml:space="preserve">BOSTON UNIVERSITY</t>
  </si>
  <si>
    <t xml:space="preserve">AD713  Derivative Securities and Markets</t>
  </si>
  <si>
    <t xml:space="preserve">$100M TREASURY PORTFOLIO HEDGE</t>
  </si>
  <si>
    <t xml:space="preserve">Duration-Neutral Hedging with 10Y T-Note Futures</t>
  </si>
  <si>
    <t xml:space="preserve">Team Assignment 1  |  Fixed-Income Portfolio Management</t>
  </si>
  <si>
    <t xml:space="preserve">Analyst:  Tejasvi Gupta</t>
  </si>
  <si>
    <t xml:space="preserve">Team:  1</t>
  </si>
  <si>
    <t xml:space="preserve">Instructor:  Prof. Christopher Athaide</t>
  </si>
  <si>
    <t xml:space="preserve">Management Period:  February 24 - April 7, 2026</t>
  </si>
  <si>
    <t xml:space="preserve">Objective:  Minimize deviation of $100M portfolio market value</t>
  </si>
  <si>
    <t xml:space="preserve">Marking Convention:  End-of-day prices; daily mark-to-market with margin financing</t>
  </si>
  <si>
    <t xml:space="preserve">WORKBOOK CONTENTS</t>
  </si>
  <si>
    <t xml:space="preserve">1.  Executive Summary  -  Strategy, stability scorecard, and hedging retrospective</t>
  </si>
  <si>
    <t xml:space="preserve">2.  Portfolio  -  Daily mark-to-market of the four-bond portfolio; deviation and stability statistics</t>
  </si>
  <si>
    <t xml:space="preserve">3.  Futures Tracking  -  10Y T-Note futures hedge: daily P&amp;L, margin balance, financing cost</t>
  </si>
  <si>
    <t xml:space="preserve">4.  Hedge Calc  -  Duration-based hedge ratio engine</t>
  </si>
  <si>
    <t xml:space="preserve">5.  Trade Log  -  Execution record: initial hedge and eight adjustments with fees</t>
  </si>
  <si>
    <t xml:space="preserve">Live automation retained: VBA modules fetch Treasury/futures marks, recompute the hedge ratio, and log trades.</t>
  </si>
  <si>
    <t xml:space="preserve">Std dev of deviation: ~0.46% of $100M base  |  31 trading days  |  9 hedge executions</t>
  </si>
  <si>
    <t xml:space="preserve">EXECUTIVE SUMMARY</t>
  </si>
  <si>
    <t xml:space="preserve">$100M Treasury Portfolio Hedge  |  Feb 24 - Apr 7, 2026</t>
  </si>
  <si>
    <t xml:space="preserve">STABILITY SCORECARD</t>
  </si>
  <si>
    <t xml:space="preserve">Starting portfolio value</t>
  </si>
  <si>
    <t xml:space="preserve">Trading days evaluated</t>
  </si>
  <si>
    <t xml:space="preserve">Mean deviation from start</t>
  </si>
  <si>
    <t xml:space="preserve">Max deviation</t>
  </si>
  <si>
    <t xml:space="preserve">Std dev of deviation</t>
  </si>
  <si>
    <t xml:space="preserve">Min deviation</t>
  </si>
  <si>
    <t xml:space="preserve">Std dev as % of start</t>
  </si>
  <si>
    <t xml:space="preserve">Deviation range</t>
  </si>
  <si>
    <t xml:space="preserve">Coefficient of variation</t>
  </si>
  <si>
    <t xml:space="preserve">Hedge executions (Trade Log)</t>
  </si>
  <si>
    <t xml:space="preserve">STRATEGY</t>
  </si>
  <si>
    <t xml:space="preserve">Mandate: hold the market value of a $100,000,000 Treasury portfolio (5Y, 7Y, 10Y, 20Y notes) as close to its starting value as possible over the management period. The portfolio carries a weighted-average modified duration of 9.29 years, so an unhedged parallel rate move of even 25bp would swing value by roughly $2.3M. The hedge shorts 10Y T-Note futures (TYM6) sized by the duration-ratio method - portfolio dollar duration divided by futures dollar duration - to neutralize first-order rate risk while the futures margin account accrues financing.</t>
  </si>
  <si>
    <t xml:space="preserve">EXECUTION</t>
  </si>
  <si>
    <t xml:space="preserve">The initial short of ~1,261 contracts was placed at inception and adjusted eight times as rates and the portfolio's duration drifted, re-solving the hedge ratio at each step. Futures marks were carried daily; margin ran positive for most of the period and earned interest at the assumed 5% rate. Weekends are treated as non-trading days - marks carry and the day is excluded from the deviation statistics - so the stability metric reflects only genuine trading sessions.</t>
  </si>
  <si>
    <t xml:space="preserve">RESULT &amp; RETROSPECTIVE</t>
  </si>
  <si>
    <t xml:space="preserve">Over 31 trading days the standard deviation of portfolio deviation was ~0.46% of the $100M base, with the value band held between roughly +$0.7M and +$2.3M of start. Two honest observations. (1) The hedge controlled variance well but the deviation stayed persistently positive - the book ran a modest long-value tilt rather than sitting flat at zero, so a tighter duration match or a small offsetting short would have centered it. (2) A single-instrument (10Y futures) hedge on a 5-to-20-year ladder leaves curve risk unhedged; the residual drift partly reflects non-parallel moves that a two-point (e.g., FV + US) hedge would have dampened. Variance control was the objective and was met; centering and curve risk are the two levers for improvement.</t>
  </si>
  <si>
    <t xml:space="preserve">TEAM 1</t>
  </si>
  <si>
    <t xml:space="preserve">TEJASVI GUPTA</t>
  </si>
  <si>
    <t xml:space="preserve">START DATE </t>
  </si>
  <si>
    <t xml:space="preserve">END DATE </t>
  </si>
  <si>
    <t xml:space="preserve">FACE VALUE </t>
  </si>
  <si>
    <t xml:space="preserve">USD ($)</t>
  </si>
  <si>
    <t xml:space="preserve">Price </t>
  </si>
  <si>
    <t xml:space="preserve">rate </t>
  </si>
  <si>
    <t xml:space="preserve">yield </t>
  </si>
  <si>
    <t xml:space="preserve">Date of Settlement </t>
  </si>
  <si>
    <t xml:space="preserve">Modified Duration </t>
  </si>
  <si>
    <t xml:space="preserve">5Y</t>
  </si>
  <si>
    <t xml:space="preserve">7Y </t>
  </si>
  <si>
    <t xml:space="preserve">10Y </t>
  </si>
  <si>
    <t xml:space="preserve">20Y </t>
  </si>
  <si>
    <t xml:space="preserve">Weighted Average Modified Duration of the Bond Portfolio</t>
  </si>
  <si>
    <t xml:space="preserve">STARTING PORTFOLIO </t>
  </si>
  <si>
    <t xml:space="preserve">DATE </t>
  </si>
  <si>
    <t xml:space="preserve">5Y PRICE </t>
  </si>
  <si>
    <t xml:space="preserve">7Y PRICE </t>
  </si>
  <si>
    <t xml:space="preserve">10Y PRICE</t>
  </si>
  <si>
    <t xml:space="preserve">20Y PRICE </t>
  </si>
  <si>
    <t xml:space="preserve">5Y MKT VALUE</t>
  </si>
  <si>
    <t xml:space="preserve">7Y MKT VALUE </t>
  </si>
  <si>
    <t xml:space="preserve">10 MKT VALUE </t>
  </si>
  <si>
    <t xml:space="preserve">20Y MKT VALUE </t>
  </si>
  <si>
    <t xml:space="preserve">TOTAL BOND VALUE </t>
  </si>
  <si>
    <t xml:space="preserve">ACCRUED INTEREST </t>
  </si>
  <si>
    <t xml:space="preserve">FUTURES PRICE </t>
  </si>
  <si>
    <t xml:space="preserve">DAILY FUTURE P&amp;L </t>
  </si>
  <si>
    <t xml:space="preserve">MARGIN BALANCE </t>
  </si>
  <si>
    <t xml:space="preserve">TRANSACTION COST </t>
  </si>
  <si>
    <t xml:space="preserve">TOTAL PORTFOLIO VALUE </t>
  </si>
  <si>
    <t xml:space="preserve">DEVIATION FROM START </t>
  </si>
  <si>
    <t xml:space="preserve">PORTFOLIO STABILITY STATISTICS</t>
  </si>
  <si>
    <t xml:space="preserve">Mean deviation from start ($)</t>
  </si>
  <si>
    <t xml:space="preserve">Std dev of deviation ($)</t>
  </si>
  <si>
    <t xml:space="preserve">Max deviation ($)</t>
  </si>
  <si>
    <t xml:space="preserve">Min deviation ($)</t>
  </si>
  <si>
    <t xml:space="preserve">Deviation range ($)</t>
  </si>
  <si>
    <t xml:space="preserve">Coefficient of variation (dev)</t>
  </si>
  <si>
    <t xml:space="preserve">Statistics computed over trading days only; non-trading (weekend) rows return blank and are excluded automatically.</t>
  </si>
  <si>
    <t xml:space="preserve">Input</t>
  </si>
  <si>
    <t xml:space="preserve">Input future price</t>
  </si>
  <si>
    <t xml:space="preserve">input</t>
  </si>
  <si>
    <t xml:space="preserve">？</t>
  </si>
  <si>
    <t xml:space="preserve">sell/buy</t>
  </si>
  <si>
    <t xml:space="preserve">TY/ FV/ U</t>
  </si>
  <si>
    <t xml:space="preserve">Parameters</t>
  </si>
  <si>
    <t xml:space="preserve">Date</t>
  </si>
  <si>
    <t xml:space="preserve">Futures Ticker</t>
  </si>
  <si>
    <t xml:space="preserve">Futures Price</t>
  </si>
  <si>
    <t xml:space="preserve">Contract Size</t>
  </si>
  <si>
    <t xml:space="preserve">Number of Contracts</t>
  </si>
  <si>
    <t xml:space="preserve">Daily Futures P&amp;L</t>
  </si>
  <si>
    <t xml:space="preserve">Cumulative P&amp;L</t>
  </si>
  <si>
    <t xml:space="preserve">Margin Balance</t>
  </si>
  <si>
    <t xml:space="preserve">Financing Rate</t>
  </si>
  <si>
    <t xml:space="preserve">Interest Cost</t>
  </si>
  <si>
    <t xml:space="preserve">Notes</t>
  </si>
  <si>
    <t xml:space="preserve">Ticker</t>
  </si>
  <si>
    <t xml:space="preserve">Initial Margin</t>
  </si>
  <si>
    <t xml:space="preserve">TYM6</t>
  </si>
  <si>
    <t xml:space="preserve">Initial short hedge position</t>
  </si>
  <si>
    <t xml:space="preserve">assumption</t>
  </si>
  <si>
    <t xml:space="preserve">Financing Rate (Annual)</t>
  </si>
  <si>
    <r>
      <rPr>
        <sz val="10"/>
        <color rgb="FF000000"/>
        <rFont val="Arial"/>
        <family val="2"/>
        <charset val="1"/>
      </rPr>
      <t xml:space="preserve">assumption</t>
    </r>
    <r>
      <rPr>
        <sz val="10"/>
        <color rgb="FF000000"/>
        <rFont val="Noto Sans CJK SC"/>
        <family val="2"/>
      </rPr>
      <t xml:space="preserve">？</t>
    </r>
  </si>
  <si>
    <t xml:space="preserve">Contract Size Table</t>
  </si>
  <si>
    <t xml:space="preserve">TU</t>
  </si>
  <si>
    <t xml:space="preserve">FV</t>
  </si>
  <si>
    <t xml:space="preserve">TY</t>
  </si>
  <si>
    <t xml:space="preserve">US</t>
  </si>
  <si>
    <t xml:space="preserve">HEDGE RATIO CALCULATION</t>
  </si>
  <si>
    <t xml:space="preserve">Portfolio Face Value</t>
  </si>
  <si>
    <t xml:space="preserve">Portfolio Modified Duration</t>
  </si>
  <si>
    <t xml:space="preserve">Futures Modified Duration</t>
  </si>
  <si>
    <t xml:space="preserve">Futures Contract Size</t>
  </si>
  <si>
    <t xml:space="preserve">100k/200k</t>
  </si>
  <si>
    <t xml:space="preserve">Number of Contracts Needed</t>
  </si>
  <si>
    <t xml:space="preserve">Actual Position to Take</t>
  </si>
  <si>
    <t xml:space="preserve">TRADE LOG</t>
  </si>
  <si>
    <t xml:space="preserve">Trade Date</t>
  </si>
  <si>
    <t xml:space="preserve">Instrument</t>
  </si>
  <si>
    <t xml:space="preserve">Buy/Sell</t>
  </si>
  <si>
    <t xml:space="preserve">Contracts</t>
  </si>
  <si>
    <t xml:space="preserve">Trade Price</t>
  </si>
  <si>
    <t xml:space="preserve">EOD Price Used?</t>
  </si>
  <si>
    <t xml:space="preserve">Transaction Fee</t>
  </si>
  <si>
    <t xml:space="preserve">Email Sent?</t>
  </si>
  <si>
    <t xml:space="preserve">10Y T-Note Futures</t>
  </si>
  <si>
    <t xml:space="preserve">Sell</t>
  </si>
  <si>
    <t xml:space="preserve">Yes</t>
  </si>
  <si>
    <t xml:space="preserve">Initial hedge: Sell 1261 contracts</t>
  </si>
  <si>
    <t xml:space="preserve">No</t>
  </si>
  <si>
    <t xml:space="preserve">Buy</t>
  </si>
  <si>
    <t xml:space="preserve">Hedge adjustment: Buy 3 contracts</t>
  </si>
  <si>
    <t xml:space="preserve">Hedge adjustment: Sell 3 contracts</t>
  </si>
  <si>
    <t xml:space="preserve">Hedge adjustment: Sell 6 contracts</t>
  </si>
  <si>
    <t xml:space="preserve">Hedge adjustment: Sell 8 contracts</t>
  </si>
  <si>
    <t xml:space="preserve">Hedge adjustment: Sell 14 contracts</t>
  </si>
  <si>
    <t xml:space="preserve">Hedge adjustment: Buy 2 contracts</t>
  </si>
</sst>
</file>

<file path=xl/styles.xml><?xml version="1.0" encoding="utf-8"?>
<styleSheet xmlns="http://schemas.openxmlformats.org/spreadsheetml/2006/main">
  <numFmts count="17">
    <numFmt numFmtId="164" formatCode="General"/>
    <numFmt numFmtId="165" formatCode="\$#,##0;&quot;($&quot;#,##0\);\-"/>
    <numFmt numFmtId="166" formatCode="0"/>
    <numFmt numFmtId="167" formatCode="0.000%"/>
    <numFmt numFmtId="168" formatCode="0.000"/>
    <numFmt numFmtId="169" formatCode="mm/dd/yyyy"/>
    <numFmt numFmtId="170" formatCode="#,##0.0000"/>
    <numFmt numFmtId="171" formatCode="0.0000"/>
    <numFmt numFmtId="172" formatCode="\$#,##0.00;&quot;($&quot;#,##0.00\);\-"/>
    <numFmt numFmtId="173" formatCode="\$#,##0.00"/>
    <numFmt numFmtId="174" formatCode="\$#,##0"/>
    <numFmt numFmtId="175" formatCode="_ * #,##0_ ;_ * \-#,##0_ ;_ * \-??_ ;_ @_ "/>
    <numFmt numFmtId="176" formatCode="_ * #,##0.00_ ;_ * \-#,##0.00_ ;_ * \-??_ ;_ @_ "/>
    <numFmt numFmtId="177" formatCode="#,##0"/>
    <numFmt numFmtId="178" formatCode="0.00%"/>
    <numFmt numFmtId="179" formatCode="0.00000"/>
    <numFmt numFmtId="180" formatCode="#,##0.00"/>
  </numFmts>
  <fonts count="37">
    <font>
      <sz val="10"/>
      <color rgb="FF000000"/>
      <name val="Arial"/>
      <family val="0"/>
      <charset val="13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color rgb="FF1F3864"/>
      <name val="Arial"/>
      <family val="0"/>
      <charset val="1"/>
    </font>
    <font>
      <sz val="11"/>
      <color rgb="FF595959"/>
      <name val="Arial"/>
      <family val="0"/>
      <charset val="1"/>
    </font>
    <font>
      <b val="true"/>
      <sz val="22"/>
      <color rgb="FF1F3864"/>
      <name val="Arial"/>
      <family val="0"/>
      <charset val="1"/>
    </font>
    <font>
      <sz val="13"/>
      <color rgb="FF2F5496"/>
      <name val="Arial"/>
      <family val="0"/>
      <charset val="1"/>
    </font>
    <font>
      <b val="true"/>
      <sz val="11"/>
      <name val="Arial"/>
      <family val="0"/>
      <charset val="1"/>
    </font>
    <font>
      <b val="true"/>
      <sz val="10"/>
      <name val="Arial"/>
      <family val="0"/>
      <charset val="1"/>
    </font>
    <font>
      <sz val="10"/>
      <name val="Arial"/>
      <family val="0"/>
      <charset val="1"/>
    </font>
    <font>
      <b val="true"/>
      <sz val="11"/>
      <color rgb="FF1F3864"/>
      <name val="Arial"/>
      <family val="0"/>
      <charset val="1"/>
    </font>
    <font>
      <sz val="10"/>
      <color rgb="FF404040"/>
      <name val="Arial"/>
      <family val="0"/>
      <charset val="1"/>
    </font>
    <font>
      <i val="true"/>
      <sz val="10"/>
      <color rgb="FF7F7F7F"/>
      <name val="Arial"/>
      <family val="0"/>
      <charset val="1"/>
    </font>
    <font>
      <b val="true"/>
      <sz val="10"/>
      <color rgb="FF1F3864"/>
      <name val="Arial"/>
      <family val="0"/>
      <charset val="1"/>
    </font>
    <font>
      <b val="true"/>
      <sz val="14"/>
      <color rgb="FF1F3864"/>
      <name val="Arial"/>
      <family val="0"/>
      <charset val="1"/>
    </font>
    <font>
      <sz val="10"/>
      <color rgb="FF595959"/>
      <name val="Arial"/>
      <family val="0"/>
      <charset val="1"/>
    </font>
    <font>
      <b val="true"/>
      <sz val="10"/>
      <color rgb="FF008000"/>
      <name val="Arial"/>
      <family val="0"/>
      <charset val="1"/>
    </font>
    <font>
      <b val="true"/>
      <sz val="10"/>
      <color rgb="FF000000"/>
      <name val="Arial"/>
      <family val="0"/>
      <charset val="1"/>
    </font>
    <font>
      <b val="true"/>
      <sz val="11"/>
      <color theme="1"/>
      <name val="Arial"/>
      <family val="2"/>
      <charset val="1"/>
    </font>
    <font>
      <b val="true"/>
      <sz val="10"/>
      <color theme="1"/>
      <name val="Arial"/>
      <family val="2"/>
      <charset val="1"/>
    </font>
    <font>
      <sz val="9"/>
      <name val="Arial"/>
      <family val="0"/>
      <charset val="1"/>
    </font>
    <font>
      <b val="true"/>
      <sz val="11"/>
      <color rgb="FF000000"/>
      <name val="Arial"/>
      <family val="2"/>
      <charset val="1"/>
    </font>
    <font>
      <b val="true"/>
      <sz val="10"/>
      <color rgb="FF000000"/>
      <name val="Arial"/>
      <family val="2"/>
      <charset val="1"/>
    </font>
    <font>
      <sz val="10"/>
      <color rgb="FFFFFFFF"/>
      <name val="Arial"/>
      <family val="2"/>
      <charset val="1"/>
    </font>
    <font>
      <b val="true"/>
      <sz val="11"/>
      <color rgb="FFFFFFFF"/>
      <name val="Arial"/>
      <family val="2"/>
      <charset val="1"/>
    </font>
    <font>
      <b val="true"/>
      <sz val="9"/>
      <color rgb="FFFFFFFF"/>
      <name val="Arial"/>
      <family val="0"/>
      <charset val="1"/>
    </font>
    <font>
      <b val="true"/>
      <sz val="9"/>
      <color rgb="FFFFFFFF"/>
      <name val="Arial"/>
      <family val="2"/>
      <charset val="1"/>
    </font>
    <font>
      <sz val="10"/>
      <color theme="1"/>
      <name val="Arial"/>
      <family val="2"/>
      <charset val="1"/>
    </font>
    <font>
      <i val="true"/>
      <sz val="9"/>
      <color rgb="FF7F7F7F"/>
      <name val="Arial"/>
      <family val="0"/>
      <charset val="1"/>
    </font>
    <font>
      <sz val="10"/>
      <color rgb="FF000000"/>
      <name val="Arial"/>
      <family val="2"/>
      <charset val="1"/>
    </font>
    <font>
      <sz val="10"/>
      <color rgb="FF000000"/>
      <name val="Noto Sans CJK SC"/>
      <family val="2"/>
      <charset val="1"/>
    </font>
    <font>
      <sz val="8"/>
      <color rgb="FF0F1115"/>
      <name val="Segoe UI"/>
      <family val="2"/>
      <charset val="1"/>
    </font>
    <font>
      <sz val="10"/>
      <color rgb="FF000000"/>
      <name val="Noto Sans CJK SC"/>
      <family val="2"/>
    </font>
    <font>
      <sz val="9"/>
      <color rgb="FF0000FF"/>
      <name val="Arial"/>
      <family val="0"/>
      <charset val="1"/>
    </font>
    <font>
      <b val="true"/>
      <sz val="12"/>
      <color rgb="FFFFFFFF"/>
      <name val="Arial"/>
      <family val="0"/>
      <charset val="1"/>
    </font>
    <font>
      <sz val="11"/>
      <color theme="1"/>
      <name val="Arial"/>
      <family val="2"/>
      <charset val="1"/>
    </font>
  </fonts>
  <fills count="8">
    <fill>
      <patternFill patternType="none"/>
    </fill>
    <fill>
      <patternFill patternType="gray125"/>
    </fill>
    <fill>
      <patternFill patternType="solid">
        <fgColor rgb="FFF2F2F2"/>
        <bgColor rgb="FFFFFFFF"/>
      </patternFill>
    </fill>
    <fill>
      <patternFill patternType="solid">
        <fgColor rgb="FFFFFF00"/>
        <bgColor rgb="FFFFFF00"/>
      </patternFill>
    </fill>
    <fill>
      <patternFill patternType="solid">
        <fgColor rgb="FFCC0000"/>
        <bgColor rgb="FF800000"/>
      </patternFill>
    </fill>
    <fill>
      <patternFill patternType="solid">
        <fgColor rgb="FF1F3864"/>
        <bgColor rgb="FF1C4587"/>
      </patternFill>
    </fill>
    <fill>
      <patternFill patternType="solid">
        <fgColor rgb="FF1C4587"/>
        <bgColor rgb="FF1F3864"/>
      </patternFill>
    </fill>
    <fill>
      <patternFill patternType="solid">
        <fgColor rgb="FFFFFFFF"/>
        <bgColor rgb="FFF2F2F2"/>
      </patternFill>
    </fill>
  </fills>
  <borders count="5">
    <border diagonalUp="false" diagonalDown="false">
      <left/>
      <right/>
      <top/>
      <bottom/>
      <diagonal/>
    </border>
    <border diagonalUp="false" diagonalDown="false">
      <left/>
      <right/>
      <top/>
      <bottom style="thick">
        <color rgb="FF1F3864"/>
      </bottom>
      <diagonal/>
    </border>
    <border diagonalUp="false" diagonalDown="false">
      <left/>
      <right/>
      <top/>
      <bottom style="medium">
        <color rgb="FF1F3864"/>
      </bottom>
      <diagonal/>
    </border>
    <border diagonalUp="false" diagonalDown="false"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9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11" fillId="0" borderId="2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13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14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0" fillId="2" borderId="3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5" fontId="17" fillId="2" borderId="3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17" fillId="2" borderId="3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0" fillId="0" borderId="3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5" fontId="17" fillId="0" borderId="3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17" fillId="0" borderId="3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17" fillId="2" borderId="3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18" fillId="2" borderId="3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0" fillId="0" borderId="0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4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9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9" fontId="19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2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0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20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5" fontId="20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70" fontId="21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7" fontId="21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9" fontId="22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8" fontId="21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23" fillId="3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23" fillId="3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71" fontId="23" fillId="3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24" fillId="4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25" fillId="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25" fillId="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6" fillId="5" borderId="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7" fillId="6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0" fontId="2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2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28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72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73" fontId="28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2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6" fontId="9" fillId="0" borderId="3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9" fillId="2" borderId="3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9" fillId="0" borderId="3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9" fillId="2" borderId="3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9" fillId="2" borderId="3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29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75" fontId="30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76" fontId="30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30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76" fontId="31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7" fillId="6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27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21" fillId="7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77" fontId="30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77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5" fontId="30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78" fontId="30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72" fontId="30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75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32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77" fontId="34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75" fontId="0" fillId="0" borderId="4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76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9" fontId="35" fillId="5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9" fontId="36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74" fontId="36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79" fontId="36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70" fontId="36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80" fontId="14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28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9" fontId="0" fillId="2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77" fontId="0" fillId="2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70" fontId="0" fillId="2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72" fontId="0" fillId="2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9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7F7F7F"/>
      <rgbColor rgb="FF9999FF"/>
      <rgbColor rgb="FF993366"/>
      <rgbColor rgb="FFF2F2F2"/>
      <rgbColor rgb="FFCCFFFF"/>
      <rgbColor rgb="FF660066"/>
      <rgbColor rgb="FFFF8080"/>
      <rgbColor rgb="FF2F5496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595959"/>
      <rgbColor rgb="FF969696"/>
      <rgbColor rgb="FF1F3864"/>
      <rgbColor rgb="FF339966"/>
      <rgbColor rgb="FF0F1115"/>
      <rgbColor rgb="FF333300"/>
      <rgbColor rgb="FF993300"/>
      <rgbColor rgb="FF993366"/>
      <rgbColor rgb="FF1C4587"/>
      <rgbColor rgb="FF404040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sharedStrings" Target="sharedStrings.xml"/>
</Relationships>
</file>

<file path=xl/ctrlProps/ctrlProps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1" descr="Run Daily Update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Run Daily Update</a:t>
              </a:r>
            </a:p>
          </xdr:txBody>
        </xdr:sp>
        <xdr:clientData/>
      </xdr:twoCellAnchor>
    </mc:Choice>
  </mc:AlternateContent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 pitchFamily="0" charset="1"/>
        <a:ea typeface="Arial" pitchFamily="0" charset="1"/>
        <a:cs typeface="Arial" pitchFamily="0" charset="1"/>
      </a:majorFont>
      <a:minorFont>
        <a:latin typeface="Arial" pitchFamily="0" charset="1"/>
        <a:ea typeface="Arial" pitchFamily="0" charset="1"/>
        <a:cs typeface="Arial" pitchFamily="0" charset="1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s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B29"/>
  <sheetViews>
    <sheetView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1" width="4"/>
    <col collapsed="false" customWidth="true" hidden="false" outlineLevel="0" max="2" min="2" style="1" width="95"/>
  </cols>
  <sheetData>
    <row r="2" customFormat="false" ht="15" hidden="false" customHeight="true" outlineLevel="0" collapsed="false">
      <c r="B2" s="2" t="s">
        <v>0</v>
      </c>
    </row>
    <row r="3" customFormat="false" ht="15" hidden="false" customHeight="true" outlineLevel="0" collapsed="false">
      <c r="B3" s="3" t="s">
        <v>1</v>
      </c>
    </row>
    <row r="5" customFormat="false" ht="15" hidden="false" customHeight="true" outlineLevel="0" collapsed="false">
      <c r="B5" s="4"/>
    </row>
    <row r="6" customFormat="false" ht="26.25" hidden="false" customHeight="true" outlineLevel="0" collapsed="false">
      <c r="B6" s="5" t="s">
        <v>2</v>
      </c>
    </row>
    <row r="7" customFormat="false" ht="15.75" hidden="false" customHeight="true" outlineLevel="0" collapsed="false">
      <c r="B7" s="6" t="s">
        <v>3</v>
      </c>
    </row>
    <row r="9" customFormat="false" ht="15" hidden="false" customHeight="true" outlineLevel="0" collapsed="false">
      <c r="B9" s="7" t="s">
        <v>4</v>
      </c>
    </row>
    <row r="11" customFormat="false" ht="15" hidden="false" customHeight="true" outlineLevel="0" collapsed="false">
      <c r="B11" s="8" t="s">
        <v>5</v>
      </c>
    </row>
    <row r="12" customFormat="false" ht="15" hidden="false" customHeight="true" outlineLevel="0" collapsed="false">
      <c r="B12" s="9" t="s">
        <v>6</v>
      </c>
    </row>
    <row r="13" customFormat="false" ht="15" hidden="false" customHeight="true" outlineLevel="0" collapsed="false">
      <c r="B13" s="9" t="s">
        <v>7</v>
      </c>
    </row>
    <row r="14" customFormat="false" ht="15" hidden="false" customHeight="true" outlineLevel="0" collapsed="false">
      <c r="B14" s="9" t="s">
        <v>8</v>
      </c>
    </row>
    <row r="15" customFormat="false" ht="15" hidden="false" customHeight="true" outlineLevel="0" collapsed="false">
      <c r="B15" s="9" t="s">
        <v>9</v>
      </c>
    </row>
    <row r="16" customFormat="false" ht="15" hidden="false" customHeight="true" outlineLevel="0" collapsed="false">
      <c r="B16" s="9" t="s">
        <v>10</v>
      </c>
    </row>
    <row r="18" customFormat="false" ht="15" hidden="false" customHeight="true" outlineLevel="0" collapsed="false">
      <c r="B18" s="10" t="s">
        <v>11</v>
      </c>
    </row>
    <row r="20" customFormat="false" ht="15" hidden="false" customHeight="true" outlineLevel="0" collapsed="false">
      <c r="B20" s="11" t="s">
        <v>12</v>
      </c>
    </row>
    <row r="21" customFormat="false" ht="15" hidden="false" customHeight="true" outlineLevel="0" collapsed="false">
      <c r="B21" s="11" t="s">
        <v>13</v>
      </c>
    </row>
    <row r="22" customFormat="false" ht="15" hidden="false" customHeight="true" outlineLevel="0" collapsed="false">
      <c r="B22" s="11" t="s">
        <v>14</v>
      </c>
    </row>
    <row r="23" customFormat="false" ht="15" hidden="false" customHeight="true" outlineLevel="0" collapsed="false">
      <c r="B23" s="11" t="s">
        <v>15</v>
      </c>
    </row>
    <row r="24" customFormat="false" ht="15" hidden="false" customHeight="true" outlineLevel="0" collapsed="false">
      <c r="B24" s="11" t="s">
        <v>16</v>
      </c>
    </row>
    <row r="27" customFormat="false" ht="15" hidden="false" customHeight="true" outlineLevel="0" collapsed="false">
      <c r="B27" s="12" t="s">
        <v>17</v>
      </c>
    </row>
    <row r="29" customFormat="false" ht="15" hidden="false" customHeight="true" outlineLevel="0" collapsed="false">
      <c r="B29" s="13" t="s">
        <v>18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F3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1" width="2"/>
    <col collapsed="false" customWidth="true" hidden="false" outlineLevel="0" max="2" min="2" style="1" width="38"/>
    <col collapsed="false" customWidth="true" hidden="false" outlineLevel="0" max="3" min="3" style="1" width="16"/>
    <col collapsed="false" customWidth="true" hidden="false" outlineLevel="0" max="4" min="4" style="1" width="3"/>
    <col collapsed="false" customWidth="true" hidden="false" outlineLevel="0" max="5" min="5" style="1" width="38"/>
    <col collapsed="false" customWidth="true" hidden="false" outlineLevel="0" max="6" min="6" style="1" width="16"/>
    <col collapsed="false" customWidth="true" hidden="false" outlineLevel="0" max="7" min="7" style="1" width="2"/>
  </cols>
  <sheetData>
    <row r="2" customFormat="false" ht="17.25" hidden="false" customHeight="true" outlineLevel="0" collapsed="false">
      <c r="B2" s="14" t="s">
        <v>19</v>
      </c>
    </row>
    <row r="3" customFormat="false" ht="15" hidden="false" customHeight="true" outlineLevel="0" collapsed="false">
      <c r="B3" s="15" t="s">
        <v>20</v>
      </c>
    </row>
    <row r="5" customFormat="false" ht="15" hidden="false" customHeight="true" outlineLevel="0" collapsed="false">
      <c r="B5" s="10" t="s">
        <v>21</v>
      </c>
      <c r="C5" s="16"/>
      <c r="D5" s="16"/>
      <c r="E5" s="16"/>
      <c r="F5" s="16"/>
    </row>
    <row r="7" customFormat="false" ht="15" hidden="false" customHeight="true" outlineLevel="0" collapsed="false">
      <c r="B7" s="17" t="s">
        <v>22</v>
      </c>
      <c r="C7" s="18" t="n">
        <f aca="false">Portfolio!$K$10</f>
        <v>100000000</v>
      </c>
      <c r="E7" s="17" t="s">
        <v>23</v>
      </c>
      <c r="F7" s="19" t="n">
        <f aca="false">Portfolio!B59</f>
        <v>31</v>
      </c>
    </row>
    <row r="8" customFormat="false" ht="15" hidden="false" customHeight="true" outlineLevel="0" collapsed="false">
      <c r="B8" s="20" t="s">
        <v>24</v>
      </c>
      <c r="C8" s="21" t="n">
        <f aca="false">Portfolio!B60</f>
        <v>1612394.32682539</v>
      </c>
      <c r="E8" s="20" t="s">
        <v>25</v>
      </c>
      <c r="F8" s="21" t="n">
        <f aca="false">Portfolio!B63</f>
        <v>2284749.52967428</v>
      </c>
    </row>
    <row r="9" customFormat="false" ht="15" hidden="false" customHeight="true" outlineLevel="0" collapsed="false">
      <c r="B9" s="17" t="s">
        <v>26</v>
      </c>
      <c r="C9" s="18" t="n">
        <f aca="false">Portfolio!B61</f>
        <v>463570.378192985</v>
      </c>
      <c r="E9" s="17" t="s">
        <v>27</v>
      </c>
      <c r="F9" s="18" t="n">
        <f aca="false">Portfolio!B64</f>
        <v>734491.536144629</v>
      </c>
    </row>
    <row r="10" customFormat="false" ht="15" hidden="false" customHeight="true" outlineLevel="0" collapsed="false">
      <c r="B10" s="20" t="s">
        <v>28</v>
      </c>
      <c r="C10" s="22" t="n">
        <f aca="false">Portfolio!B62</f>
        <v>0.00463570378192985</v>
      </c>
      <c r="E10" s="20" t="s">
        <v>29</v>
      </c>
      <c r="F10" s="21" t="n">
        <f aca="false">Portfolio!B65</f>
        <v>1550257.99352965</v>
      </c>
    </row>
    <row r="11" customFormat="false" ht="15" hidden="false" customHeight="true" outlineLevel="0" collapsed="false">
      <c r="B11" s="17" t="s">
        <v>30</v>
      </c>
      <c r="C11" s="23" t="n">
        <f aca="false">Portfolio!B66</f>
        <v>0.287504347094609</v>
      </c>
      <c r="E11" s="17" t="s">
        <v>31</v>
      </c>
      <c r="F11" s="24" t="n">
        <f aca="false">COUNTA('Trade Log '!A4:A20)</f>
        <v>8</v>
      </c>
    </row>
    <row r="14" customFormat="false" ht="15" hidden="false" customHeight="true" outlineLevel="0" collapsed="false">
      <c r="B14" s="10" t="s">
        <v>32</v>
      </c>
      <c r="C14" s="16"/>
      <c r="D14" s="16"/>
      <c r="E14" s="16"/>
      <c r="F14" s="16"/>
    </row>
    <row r="15" customFormat="false" ht="15" hidden="false" customHeight="true" outlineLevel="0" collapsed="false">
      <c r="B15" s="25" t="s">
        <v>33</v>
      </c>
      <c r="C15" s="25"/>
      <c r="D15" s="25"/>
      <c r="E15" s="25"/>
      <c r="F15" s="25"/>
    </row>
    <row r="16" customFormat="false" ht="15" hidden="false" customHeight="true" outlineLevel="0" collapsed="false">
      <c r="B16" s="25"/>
      <c r="C16" s="25"/>
      <c r="D16" s="25"/>
      <c r="E16" s="25"/>
      <c r="F16" s="25"/>
    </row>
    <row r="17" customFormat="false" ht="15" hidden="false" customHeight="true" outlineLevel="0" collapsed="false">
      <c r="B17" s="25"/>
      <c r="C17" s="25"/>
      <c r="D17" s="25"/>
      <c r="E17" s="25"/>
      <c r="F17" s="25"/>
    </row>
    <row r="18" customFormat="false" ht="15" hidden="false" customHeight="true" outlineLevel="0" collapsed="false">
      <c r="B18" s="25"/>
      <c r="C18" s="25"/>
      <c r="D18" s="25"/>
      <c r="E18" s="25"/>
      <c r="F18" s="25"/>
    </row>
    <row r="20" customFormat="false" ht="15" hidden="false" customHeight="true" outlineLevel="0" collapsed="false">
      <c r="B20" s="10" t="s">
        <v>34</v>
      </c>
      <c r="C20" s="16"/>
      <c r="D20" s="16"/>
      <c r="E20" s="16"/>
      <c r="F20" s="16"/>
    </row>
    <row r="21" customFormat="false" ht="15" hidden="false" customHeight="true" outlineLevel="0" collapsed="false">
      <c r="B21" s="25" t="s">
        <v>35</v>
      </c>
      <c r="C21" s="25"/>
      <c r="D21" s="25"/>
      <c r="E21" s="25"/>
      <c r="F21" s="25"/>
    </row>
    <row r="22" customFormat="false" ht="15" hidden="false" customHeight="true" outlineLevel="0" collapsed="false">
      <c r="B22" s="25"/>
      <c r="C22" s="25"/>
      <c r="D22" s="25"/>
      <c r="E22" s="25"/>
      <c r="F22" s="25"/>
    </row>
    <row r="23" customFormat="false" ht="15" hidden="false" customHeight="true" outlineLevel="0" collapsed="false">
      <c r="B23" s="25"/>
      <c r="C23" s="25"/>
      <c r="D23" s="25"/>
      <c r="E23" s="25"/>
      <c r="F23" s="25"/>
    </row>
    <row r="24" customFormat="false" ht="15" hidden="false" customHeight="true" outlineLevel="0" collapsed="false">
      <c r="B24" s="25"/>
      <c r="C24" s="25"/>
      <c r="D24" s="25"/>
      <c r="E24" s="25"/>
      <c r="F24" s="25"/>
    </row>
    <row r="26" customFormat="false" ht="15" hidden="false" customHeight="true" outlineLevel="0" collapsed="false">
      <c r="B26" s="10" t="s">
        <v>36</v>
      </c>
      <c r="C26" s="16"/>
      <c r="D26" s="16"/>
      <c r="E26" s="16"/>
      <c r="F26" s="16"/>
    </row>
    <row r="27" customFormat="false" ht="15" hidden="false" customHeight="true" outlineLevel="0" collapsed="false">
      <c r="B27" s="25" t="s">
        <v>37</v>
      </c>
      <c r="C27" s="25"/>
      <c r="D27" s="25"/>
      <c r="E27" s="25"/>
      <c r="F27" s="25"/>
    </row>
    <row r="28" customFormat="false" ht="15" hidden="false" customHeight="true" outlineLevel="0" collapsed="false">
      <c r="B28" s="25"/>
      <c r="C28" s="25"/>
      <c r="D28" s="25"/>
      <c r="E28" s="25"/>
      <c r="F28" s="25"/>
    </row>
    <row r="29" customFormat="false" ht="15" hidden="false" customHeight="true" outlineLevel="0" collapsed="false">
      <c r="B29" s="25"/>
      <c r="C29" s="25"/>
      <c r="D29" s="25"/>
      <c r="E29" s="25"/>
      <c r="F29" s="25"/>
    </row>
    <row r="30" customFormat="false" ht="15" hidden="false" customHeight="true" outlineLevel="0" collapsed="false">
      <c r="B30" s="25"/>
      <c r="C30" s="25"/>
      <c r="D30" s="25"/>
      <c r="E30" s="25"/>
      <c r="F30" s="25"/>
    </row>
    <row r="31" customFormat="false" ht="15" hidden="false" customHeight="true" outlineLevel="0" collapsed="false">
      <c r="B31" s="25"/>
      <c r="C31" s="25"/>
      <c r="D31" s="25"/>
      <c r="E31" s="25"/>
      <c r="F31" s="25"/>
    </row>
  </sheetData>
  <mergeCells count="3">
    <mergeCell ref="B15:F18"/>
    <mergeCell ref="B21:F24"/>
    <mergeCell ref="B27:F31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R68"/>
  <sheetViews>
    <sheetView showFormulas="false" showGridLines="true" showRowColHeaders="true" showZeros="true" rightToLeft="false" tabSelected="true" showOutlineSymbols="true" defaultGridColor="true" view="normal" topLeftCell="A39" colorId="64" zoomScale="100" zoomScaleNormal="100" zoomScalePageLayoutView="100" workbookViewId="0">
      <pane xSplit="1" ySplit="12" topLeftCell="B13" activePane="bottomRight" state="frozen"/>
      <selection pane="topLeft" activeCell="A39" activeCellId="0" sqref="A39"/>
      <selection pane="topRight" activeCell="B39" activeCellId="0" sqref="B39"/>
      <selection pane="bottomLeft" activeCell="A13" activeCellId="0" sqref="A13"/>
      <selection pane="bottomRight" activeCell="I3" activeCellId="0" sqref="I3"/>
    </sheetView>
  </sheetViews>
  <sheetFormatPr defaultColWidth="12.6328125" defaultRowHeight="15.75" zeroHeight="false" outlineLevelRow="0" outlineLevelCol="0"/>
  <cols>
    <col collapsed="false" customWidth="true" hidden="false" outlineLevel="0" max="2" min="2" style="1" width="15.27"/>
    <col collapsed="false" customWidth="true" hidden="false" outlineLevel="0" max="6" min="6" style="1" width="16.82"/>
    <col collapsed="false" customWidth="true" hidden="false" outlineLevel="0" max="7" min="7" style="1" width="17.73"/>
    <col collapsed="false" customWidth="true" hidden="false" outlineLevel="0" max="8" min="8" style="1" width="17.09"/>
    <col collapsed="false" customWidth="true" hidden="false" outlineLevel="0" max="9" min="9" style="1" width="15.18"/>
    <col collapsed="false" customWidth="true" hidden="false" outlineLevel="0" max="10" min="10" style="1" width="25.54"/>
    <col collapsed="false" customWidth="true" hidden="false" outlineLevel="0" max="11" min="11" style="1" width="19.18"/>
    <col collapsed="false" customWidth="true" hidden="false" outlineLevel="0" max="12" min="12" style="1" width="15.27"/>
    <col collapsed="false" customWidth="true" hidden="false" outlineLevel="0" max="13" min="13" style="1" width="18.18"/>
    <col collapsed="false" customWidth="true" hidden="false" outlineLevel="0" max="14" min="14" style="1" width="17.36"/>
    <col collapsed="false" customWidth="true" hidden="false" outlineLevel="0" max="15" min="15" style="1" width="19.36"/>
    <col collapsed="false" customWidth="true" hidden="false" outlineLevel="0" max="16" min="16" style="1" width="24.36"/>
    <col collapsed="false" customWidth="true" hidden="false" outlineLevel="0" max="17" min="17" style="1" width="22.91"/>
  </cols>
  <sheetData>
    <row r="1" customFormat="false" ht="13.5" hidden="false" customHeight="true" outlineLevel="0" collapsed="false">
      <c r="A1" s="26" t="s">
        <v>38</v>
      </c>
      <c r="B1" s="26" t="s">
        <v>39</v>
      </c>
      <c r="C1" s="27"/>
    </row>
    <row r="2" customFormat="false" ht="13.5" hidden="false" customHeight="true" outlineLevel="0" collapsed="false">
      <c r="A2" s="27" t="s">
        <v>40</v>
      </c>
      <c r="B2" s="28" t="n">
        <v>46077</v>
      </c>
    </row>
    <row r="3" customFormat="false" ht="13.5" hidden="false" customHeight="true" outlineLevel="0" collapsed="false">
      <c r="A3" s="27" t="s">
        <v>41</v>
      </c>
      <c r="B3" s="28" t="n">
        <v>46119</v>
      </c>
    </row>
    <row r="5" customFormat="false" ht="15.75" hidden="false" customHeight="true" outlineLevel="0" collapsed="false">
      <c r="A5" s="29" t="s">
        <v>42</v>
      </c>
      <c r="B5" s="29" t="s">
        <v>43</v>
      </c>
      <c r="D5" s="29" t="s">
        <v>44</v>
      </c>
      <c r="E5" s="29" t="s">
        <v>45</v>
      </c>
      <c r="F5" s="29" t="s">
        <v>46</v>
      </c>
      <c r="G5" s="30" t="s">
        <v>47</v>
      </c>
      <c r="H5" s="30" t="s">
        <v>48</v>
      </c>
    </row>
    <row r="6" customFormat="false" ht="13.5" hidden="false" customHeight="true" outlineLevel="0" collapsed="false">
      <c r="A6" s="31" t="s">
        <v>49</v>
      </c>
      <c r="B6" s="32" t="n">
        <v>15000000</v>
      </c>
      <c r="D6" s="33" t="n">
        <f aca="false">PRICE($B$2,G6,E6,F6,100,2,1)</f>
        <v>100.535679764239</v>
      </c>
      <c r="E6" s="34" t="n">
        <v>0.0375</v>
      </c>
      <c r="F6" s="34" t="n">
        <v>0.0363</v>
      </c>
      <c r="G6" s="35" t="n">
        <v>47879</v>
      </c>
      <c r="H6" s="36" t="n">
        <v>4.557</v>
      </c>
    </row>
    <row r="7" customFormat="false" ht="13.5" hidden="false" customHeight="true" outlineLevel="0" collapsed="false">
      <c r="A7" s="31" t="s">
        <v>50</v>
      </c>
      <c r="B7" s="32" t="n">
        <v>17000000</v>
      </c>
      <c r="D7" s="33" t="n">
        <f aca="false">PRICE($B$2,G7,E7,F7,100,2,1)</f>
        <v>101.08524287111</v>
      </c>
      <c r="E7" s="34" t="n">
        <v>0.04</v>
      </c>
      <c r="F7" s="34" t="n">
        <v>0.0382</v>
      </c>
      <c r="G7" s="35" t="n">
        <v>48610</v>
      </c>
      <c r="H7" s="36" t="n">
        <v>6.13</v>
      </c>
    </row>
    <row r="8" customFormat="false" ht="13.5" hidden="false" customHeight="true" outlineLevel="0" collapsed="false">
      <c r="A8" s="31" t="s">
        <v>51</v>
      </c>
      <c r="B8" s="32" t="n">
        <v>25000000</v>
      </c>
      <c r="D8" s="33" t="n">
        <f aca="false">PRICE($B$2,G8,E8,F8,100,2,1)</f>
        <v>104.577036490224</v>
      </c>
      <c r="E8" s="34" t="n">
        <v>0.04625</v>
      </c>
      <c r="F8" s="34" t="n">
        <v>0.0405</v>
      </c>
      <c r="G8" s="35" t="n">
        <v>49628</v>
      </c>
      <c r="H8" s="36" t="n">
        <v>7.906</v>
      </c>
    </row>
    <row r="9" customFormat="false" ht="13.5" hidden="false" customHeight="true" outlineLevel="0" collapsed="false">
      <c r="A9" s="31" t="s">
        <v>52</v>
      </c>
      <c r="B9" s="32" t="n">
        <v>43000000</v>
      </c>
      <c r="D9" s="33" t="n">
        <f aca="false">PRICE($B$2,G9,E9,F9,100,2,1)</f>
        <v>99.929268146133</v>
      </c>
      <c r="E9" s="34" t="n">
        <v>0.04625</v>
      </c>
      <c r="F9" s="34" t="n">
        <v>0.0463</v>
      </c>
      <c r="G9" s="35" t="n">
        <v>53281</v>
      </c>
      <c r="H9" s="36" t="n">
        <v>12.992</v>
      </c>
    </row>
    <row r="10" customFormat="false" ht="13.5" hidden="false" customHeight="true" outlineLevel="0" collapsed="false">
      <c r="B10" s="37" t="n">
        <f aca="false">SUM(B6:B9)</f>
        <v>100000000</v>
      </c>
      <c r="E10" s="38"/>
      <c r="F10" s="38"/>
      <c r="G10" s="39" t="s">
        <v>53</v>
      </c>
      <c r="H10" s="40" t="n">
        <f aca="false">(B6*H6+B7*H7+B8*H8+B9*H9)/B10</f>
        <v>9.28871</v>
      </c>
      <c r="I10" s="41"/>
      <c r="J10" s="42" t="s">
        <v>54</v>
      </c>
      <c r="K10" s="43" t="n">
        <v>100000000</v>
      </c>
    </row>
    <row r="12" customFormat="false" ht="15.75" hidden="false" customHeight="true" outlineLevel="0" collapsed="false">
      <c r="A12" s="44" t="s">
        <v>55</v>
      </c>
      <c r="B12" s="44" t="s">
        <v>56</v>
      </c>
      <c r="C12" s="44" t="s">
        <v>57</v>
      </c>
      <c r="D12" s="44" t="s">
        <v>58</v>
      </c>
      <c r="E12" s="44" t="s">
        <v>59</v>
      </c>
      <c r="F12" s="44" t="s">
        <v>60</v>
      </c>
      <c r="G12" s="44" t="s">
        <v>61</v>
      </c>
      <c r="H12" s="44" t="s">
        <v>62</v>
      </c>
      <c r="I12" s="44" t="s">
        <v>63</v>
      </c>
      <c r="J12" s="44" t="s">
        <v>64</v>
      </c>
      <c r="K12" s="44" t="s">
        <v>65</v>
      </c>
      <c r="L12" s="44" t="s">
        <v>66</v>
      </c>
      <c r="M12" s="44" t="s">
        <v>67</v>
      </c>
      <c r="N12" s="44" t="s">
        <v>68</v>
      </c>
      <c r="O12" s="44" t="s">
        <v>69</v>
      </c>
      <c r="P12" s="44" t="s">
        <v>70</v>
      </c>
      <c r="Q12" s="44" t="s">
        <v>71</v>
      </c>
      <c r="R12" s="45"/>
    </row>
    <row r="13" customFormat="false" ht="13.5" hidden="false" customHeight="true" outlineLevel="0" collapsed="false">
      <c r="A13" s="28" t="n">
        <v>46077</v>
      </c>
      <c r="B13" s="46" t="n">
        <v>100.53567976424</v>
      </c>
      <c r="C13" s="46" t="n">
        <v>101.08524287111</v>
      </c>
      <c r="D13" s="46" t="n">
        <v>104.577036490224</v>
      </c>
      <c r="E13" s="46" t="n">
        <v>99.929268146133</v>
      </c>
      <c r="F13" s="47" t="n">
        <f aca="false">IF(B13="","",$B$6*(B13/100))</f>
        <v>15080351.964636</v>
      </c>
      <c r="G13" s="47" t="n">
        <f aca="false">IF(C13="","",$B$7*(C13/100))</f>
        <v>17184491.2880887</v>
      </c>
      <c r="H13" s="47" t="n">
        <f aca="false">IF(D13="","",$B$8*(D13/100))</f>
        <v>26144259.122556</v>
      </c>
      <c r="I13" s="47" t="n">
        <f aca="false">IF(E13="","",$B$9*(E13/100))</f>
        <v>42969585.3028372</v>
      </c>
      <c r="J13" s="48" t="n">
        <f aca="false">SUM(F13:I13)</f>
        <v>101378687.678118</v>
      </c>
      <c r="K13" s="37" t="n">
        <v>0</v>
      </c>
      <c r="L13" s="49" t="n">
        <f aca="false">'Futures Tracking'!C3</f>
        <v>113.296875</v>
      </c>
      <c r="M13" s="37" t="n">
        <f aca="false">'Futures Tracking'!F3</f>
        <v>0</v>
      </c>
      <c r="N13" s="37" t="n">
        <f aca="false">'Futures Tracking'!H3-'Futures Tracking'!$O$3</f>
        <v>0</v>
      </c>
      <c r="O13" s="50"/>
      <c r="P13" s="48" t="n">
        <f aca="false">IF($B13="","",J13+K13+N13-O13)</f>
        <v>101378687.678118</v>
      </c>
      <c r="Q13" s="48" t="n">
        <f aca="false">IF($B13="","",P13-$K$10)</f>
        <v>1378687.6781179</v>
      </c>
    </row>
    <row r="14" customFormat="false" ht="13.5" hidden="false" customHeight="true" outlineLevel="0" collapsed="false">
      <c r="A14" s="28" t="n">
        <v>46078</v>
      </c>
      <c r="B14" s="49" t="n">
        <v>100.625229998346</v>
      </c>
      <c r="C14" s="49" t="n">
        <v>101.084787836893</v>
      </c>
      <c r="D14" s="49" t="n">
        <v>104.575986853009</v>
      </c>
      <c r="E14" s="49" t="n">
        <v>99.9292911864804</v>
      </c>
      <c r="F14" s="47" t="n">
        <f aca="false">IF(B14="","",$B$6*(B14/100))</f>
        <v>15093784.4997519</v>
      </c>
      <c r="G14" s="47" t="n">
        <f aca="false">IF(C14="","",$B$7*(C14/100))</f>
        <v>17184413.9322718</v>
      </c>
      <c r="H14" s="47" t="n">
        <f aca="false">IF(D14="","",$B$8*(D14/100))</f>
        <v>26143996.7132523</v>
      </c>
      <c r="I14" s="47" t="n">
        <f aca="false">IF(E14="","",$B$9*(E14/100))</f>
        <v>42969595.2101866</v>
      </c>
      <c r="J14" s="48" t="n">
        <f aca="false">SUM(F14:I14)</f>
        <v>101391790.355463</v>
      </c>
      <c r="K14" s="37" t="n">
        <f aca="false">($B$6*$E$6+$B$7*$E$7+$B$8*$E$8+$B$9*$E$9)/365*(A14-$A$13)</f>
        <v>12020.5479452055</v>
      </c>
      <c r="L14" s="49" t="n">
        <f aca="false">'Futures Tracking'!C4</f>
        <v>113.171875</v>
      </c>
      <c r="M14" s="37" t="n">
        <f aca="false">'Futures Tracking'!F4</f>
        <v>0</v>
      </c>
      <c r="N14" s="37" t="n">
        <f aca="false">'Futures Tracking'!H4-'Futures Tracking'!$O$3</f>
        <v>136.986301369849</v>
      </c>
      <c r="O14" s="50"/>
      <c r="P14" s="48" t="n">
        <f aca="false">IF($B14="","",J14+K14+N14-O14)</f>
        <v>101403947.889709</v>
      </c>
      <c r="Q14" s="48" t="n">
        <f aca="false">IF($B14="","",P14-$K$10)</f>
        <v>1403947.8897091</v>
      </c>
    </row>
    <row r="15" customFormat="false" ht="13.5" hidden="false" customHeight="true" outlineLevel="0" collapsed="false">
      <c r="A15" s="28" t="n">
        <v>46079</v>
      </c>
      <c r="B15" s="49" t="n">
        <v>100.804816781363</v>
      </c>
      <c r="C15" s="49" t="n">
        <v>101.327696698776</v>
      </c>
      <c r="D15" s="49" t="n">
        <v>104.820770282555</v>
      </c>
      <c r="E15" s="49" t="n">
        <v>100.315321619606</v>
      </c>
      <c r="F15" s="47" t="n">
        <f aca="false">IF(B15="","",$B$6*(B15/100))</f>
        <v>15120722.5172044</v>
      </c>
      <c r="G15" s="47" t="n">
        <f aca="false">IF(C15="","",$B$7*(C15/100))</f>
        <v>17225708.4387919</v>
      </c>
      <c r="H15" s="47" t="n">
        <f aca="false">IF(D15="","",$B$8*(D15/100))</f>
        <v>26205192.5706388</v>
      </c>
      <c r="I15" s="47" t="n">
        <f aca="false">IF(E15="","",$B$9*(E15/100))</f>
        <v>43135588.2964306</v>
      </c>
      <c r="J15" s="48" t="n">
        <f aca="false">SUM(F15:I15)</f>
        <v>101687211.823066</v>
      </c>
      <c r="K15" s="37" t="n">
        <f aca="false">($B$6*$E$6+$B$7*$E$7+$B$8*$E$8+$B$9*$E$9)/365*(A15-$A$13)</f>
        <v>24041.095890411</v>
      </c>
      <c r="L15" s="49" t="n">
        <f aca="false">'Futures Tracking'!C5</f>
        <v>113.421875</v>
      </c>
      <c r="M15" s="37" t="n">
        <f aca="false">'Futures Tracking'!F5</f>
        <v>0</v>
      </c>
      <c r="N15" s="37" t="n">
        <f aca="false">'Futures Tracking'!H5-'Futures Tracking'!$O$3</f>
        <v>273.991367986426</v>
      </c>
      <c r="O15" s="50"/>
      <c r="P15" s="48" t="n">
        <f aca="false">IF($B15="","",J15+K15+N15-O15)</f>
        <v>101711526.910324</v>
      </c>
      <c r="Q15" s="48" t="n">
        <f aca="false">IF($B15="","",P15-$K$10)</f>
        <v>1711526.9103241</v>
      </c>
    </row>
    <row r="16" customFormat="false" ht="13.5" hidden="false" customHeight="true" outlineLevel="0" collapsed="false">
      <c r="A16" s="28" t="n">
        <v>46080</v>
      </c>
      <c r="B16" s="49" t="n">
        <v>100.624455404844</v>
      </c>
      <c r="C16" s="49" t="n">
        <v>101.083881091131</v>
      </c>
      <c r="D16" s="49" t="n">
        <v>104.57389147548</v>
      </c>
      <c r="E16" s="49" t="n">
        <v>99.9293421228093</v>
      </c>
      <c r="F16" s="47" t="n">
        <f aca="false">IF(B16="","",$B$6*(B16/100))</f>
        <v>15093668.3107266</v>
      </c>
      <c r="G16" s="47" t="n">
        <f aca="false">IF(C16="","",$B$7*(C16/100))</f>
        <v>17184259.7854923</v>
      </c>
      <c r="H16" s="47" t="n">
        <f aca="false">IF(D16="","",$B$8*(D16/100))</f>
        <v>26143472.86887</v>
      </c>
      <c r="I16" s="47" t="n">
        <f aca="false">IF(E16="","",$B$9*(E16/100))</f>
        <v>42969617.112808</v>
      </c>
      <c r="J16" s="48" t="n">
        <f aca="false">SUM(F16:I16)</f>
        <v>101391018.077897</v>
      </c>
      <c r="K16" s="37" t="n">
        <f aca="false">($B$6*$E$6+$B$7*$E$7+$B$8*$E$8+$B$9*$E$9)/365*(A16-$A$13)</f>
        <v>36061.6438356164</v>
      </c>
      <c r="L16" s="49" t="n">
        <f aca="false">'Futures Tracking'!C6</f>
        <v>113.640625</v>
      </c>
      <c r="M16" s="37" t="n">
        <f aca="false">'Futures Tracking'!F6</f>
        <v>-275187.5</v>
      </c>
      <c r="N16" s="37" t="n">
        <f aca="false">'Futures Tracking'!H6-'Futures Tracking'!$O$3</f>
        <v>-274776.48479758</v>
      </c>
      <c r="O16" s="50" t="n">
        <v>14364.175</v>
      </c>
      <c r="P16" s="48" t="n">
        <f aca="false">IF($B16="","",J16+K16+N16-O16)</f>
        <v>101137939.061935</v>
      </c>
      <c r="Q16" s="48" t="n">
        <f aca="false">IF($B16="","",P16-$K$10)</f>
        <v>1137939.0619349</v>
      </c>
    </row>
    <row r="17" customFormat="false" ht="13.5" hidden="false" customHeight="true" outlineLevel="0" collapsed="false">
      <c r="A17" s="28" t="n">
        <v>46081</v>
      </c>
      <c r="B17" s="49"/>
      <c r="C17" s="49"/>
      <c r="D17" s="49"/>
      <c r="E17" s="49"/>
      <c r="F17" s="47" t="str">
        <f aca="false">IF(B17="","",$B$6*(B17/100))</f>
        <v/>
      </c>
      <c r="G17" s="47" t="str">
        <f aca="false">IF(C17="","",$B$7*(C17/100))</f>
        <v/>
      </c>
      <c r="H17" s="47" t="str">
        <f aca="false">IF(D17="","",$B$8*(D17/100))</f>
        <v/>
      </c>
      <c r="I17" s="47" t="str">
        <f aca="false">IF(E17="","",$B$9*(E17/100))</f>
        <v/>
      </c>
      <c r="J17" s="48" t="n">
        <f aca="false">SUM(F17:I17)</f>
        <v>0</v>
      </c>
      <c r="K17" s="37" t="n">
        <f aca="false">($B$6*$E$6+$B$7*$E$7+$B$8*$E$8+$B$9*$E$9)/365*(A17-$A$13)</f>
        <v>48082.1917808219</v>
      </c>
      <c r="L17" s="49" t="n">
        <f aca="false">'Futures Tracking'!C7</f>
        <v>0</v>
      </c>
      <c r="M17" s="37" t="n">
        <f aca="false">'Futures Tracking'!F7</f>
        <v>0</v>
      </c>
      <c r="N17" s="37" t="n">
        <f aca="false">'Futures Tracking'!H7-'Futures Tracking'!$O$3</f>
        <v>-274677.139110566</v>
      </c>
      <c r="O17" s="50"/>
      <c r="P17" s="48" t="str">
        <f aca="false">IF($B17="","",J17+K17+N17-O17)</f>
        <v/>
      </c>
      <c r="Q17" s="48" t="str">
        <f aca="false">IF($B17="","",P17-$K$10)</f>
        <v/>
      </c>
    </row>
    <row r="18" customFormat="false" ht="13.5" hidden="false" customHeight="true" outlineLevel="0" collapsed="false">
      <c r="A18" s="28" t="n">
        <v>46082</v>
      </c>
      <c r="B18" s="49"/>
      <c r="C18" s="49"/>
      <c r="D18" s="49"/>
      <c r="E18" s="49"/>
      <c r="F18" s="47" t="str">
        <f aca="false">IF(B18="","",$B$6*(B18/100))</f>
        <v/>
      </c>
      <c r="G18" s="47" t="str">
        <f aca="false">IF(C18="","",$B$7*(C18/100))</f>
        <v/>
      </c>
      <c r="H18" s="47" t="str">
        <f aca="false">IF(D18="","",$B$8*(D18/100))</f>
        <v/>
      </c>
      <c r="I18" s="47" t="str">
        <f aca="false">IF(E18="","",$B$9*(E18/100))</f>
        <v/>
      </c>
      <c r="J18" s="48" t="n">
        <f aca="false">SUM(F18:I18)</f>
        <v>0</v>
      </c>
      <c r="K18" s="37" t="n">
        <f aca="false">($B$6*$E$6+$B$7*$E$7+$B$8*$E$8+$B$9*$E$9)/365*(A18-$A$13)</f>
        <v>60102.7397260274</v>
      </c>
      <c r="L18" s="49" t="n">
        <f aca="false">'Futures Tracking'!C8</f>
        <v>0</v>
      </c>
      <c r="M18" s="37" t="n">
        <f aca="false">'Futures Tracking'!F8</f>
        <v>0</v>
      </c>
      <c r="N18" s="37" t="n">
        <f aca="false">'Futures Tracking'!H8-'Futures Tracking'!$O$3</f>
        <v>-274577.779814553</v>
      </c>
      <c r="O18" s="50"/>
      <c r="P18" s="48" t="str">
        <f aca="false">IF($B18="","",J18+K18+N18-O18)</f>
        <v/>
      </c>
      <c r="Q18" s="48" t="str">
        <f aca="false">IF($B18="","",P18-$K$10)</f>
        <v/>
      </c>
    </row>
    <row r="19" customFormat="false" ht="13.5" hidden="false" customHeight="true" outlineLevel="0" collapsed="false">
      <c r="A19" s="28" t="n">
        <v>46083</v>
      </c>
      <c r="B19" s="49" t="n">
        <v>100.802907612962</v>
      </c>
      <c r="C19" s="49" t="n">
        <v>101.325552909268</v>
      </c>
      <c r="D19" s="49" t="n">
        <v>104.81635383079</v>
      </c>
      <c r="E19" s="49" t="n">
        <v>100.315302256676</v>
      </c>
      <c r="F19" s="47" t="n">
        <f aca="false">IF(B19="","",$B$6*(B19/100))</f>
        <v>15120436.1419443</v>
      </c>
      <c r="G19" s="47" t="n">
        <f aca="false">IF(C19="","",$B$7*(C19/100))</f>
        <v>17225343.9945756</v>
      </c>
      <c r="H19" s="47" t="n">
        <f aca="false">IF(D19="","",$B$8*(D19/100))</f>
        <v>26204088.4576975</v>
      </c>
      <c r="I19" s="47" t="n">
        <f aca="false">IF(E19="","",$B$9*(E19/100))</f>
        <v>43135579.9703707</v>
      </c>
      <c r="J19" s="48" t="n">
        <f aca="false">SUM(F19:I19)</f>
        <v>101685448.564588</v>
      </c>
      <c r="K19" s="37" t="n">
        <f aca="false">($B$6*$E$6+$B$7*$E$7+$B$8*$E$8+$B$9*$E$9)/365*(A19-$A$13)</f>
        <v>72123.2876712329</v>
      </c>
      <c r="L19" s="49" t="n">
        <f aca="false">'Futures Tracking'!C9</f>
        <v>113.34375</v>
      </c>
      <c r="M19" s="37" t="n">
        <f aca="false">'Futures Tracking'!F9</f>
        <v>0</v>
      </c>
      <c r="N19" s="37" t="n">
        <f aca="false">'Futures Tracking'!H9-'Futures Tracking'!$O$3</f>
        <v>-274478.406907679</v>
      </c>
      <c r="O19" s="50" t="n">
        <v>34.003125</v>
      </c>
      <c r="P19" s="48" t="n">
        <f aca="false">IF($B19="","",J19+K19+N19-O19)</f>
        <v>101483059.442227</v>
      </c>
      <c r="Q19" s="48" t="n">
        <f aca="false">IF($B19="","",P19-$K$10)</f>
        <v>1483059.4422266</v>
      </c>
    </row>
    <row r="20" customFormat="false" ht="13.5" hidden="false" customHeight="true" outlineLevel="0" collapsed="false">
      <c r="A20" s="28" t="n">
        <v>46084</v>
      </c>
      <c r="B20" s="49" t="n">
        <v>100.53329990211</v>
      </c>
      <c r="C20" s="49" t="n">
        <v>101.021451941113</v>
      </c>
      <c r="D20" s="49" t="n">
        <v>104.488023153682</v>
      </c>
      <c r="E20" s="49" t="n">
        <v>99.673322207809</v>
      </c>
      <c r="F20" s="47" t="n">
        <f aca="false">IF(B20="","",$B$6*(B20/100))</f>
        <v>15079994.9853165</v>
      </c>
      <c r="G20" s="47" t="n">
        <f aca="false">IF(C20="","",$B$7*(C20/100))</f>
        <v>17173646.8299892</v>
      </c>
      <c r="H20" s="47" t="n">
        <f aca="false">IF(D20="","",$B$8*(D20/100))</f>
        <v>26122005.7884205</v>
      </c>
      <c r="I20" s="47" t="n">
        <f aca="false">IF(E20="","",$B$9*(E20/100))</f>
        <v>42859528.5493579</v>
      </c>
      <c r="J20" s="48" t="n">
        <f aca="false">SUM(F20:I20)</f>
        <v>101235176.153084</v>
      </c>
      <c r="K20" s="37" t="n">
        <f aca="false">($B$6*$E$6+$B$7*$E$7+$B$8*$E$8+$B$9*$E$9)/365*(A20-$A$13)</f>
        <v>84143.8356164384</v>
      </c>
      <c r="L20" s="49" t="n">
        <f aca="false">'Futures Tracking'!C10</f>
        <v>113.015625</v>
      </c>
      <c r="M20" s="37" t="n">
        <f aca="false">'Futures Tracking'!F10</f>
        <v>413765.625</v>
      </c>
      <c r="N20" s="37" t="n">
        <f aca="false">'Futures Tracking'!H10-'Futures Tracking'!$O$3</f>
        <v>139386.604611923</v>
      </c>
      <c r="O20" s="50"/>
      <c r="P20" s="48" t="n">
        <f aca="false">IF($B20="","",J20+K20+N20-O20)</f>
        <v>101458706.593312</v>
      </c>
      <c r="Q20" s="48" t="n">
        <f aca="false">IF($B20="","",P20-$K$10)</f>
        <v>1458706.59331243</v>
      </c>
    </row>
    <row r="21" customFormat="false" ht="13.5" hidden="false" customHeight="true" outlineLevel="0" collapsed="false">
      <c r="A21" s="28" t="n">
        <v>46085</v>
      </c>
      <c r="B21" s="49" t="n">
        <v>100.577738461162</v>
      </c>
      <c r="C21" s="49" t="n">
        <v>101.081633614371</v>
      </c>
      <c r="D21" s="49" t="n">
        <v>104.568675770305</v>
      </c>
      <c r="E21" s="49" t="n">
        <v>99.8013301601486</v>
      </c>
      <c r="F21" s="47" t="n">
        <f aca="false">IF(B21="","",$B$6*(B21/100))</f>
        <v>15086660.7691743</v>
      </c>
      <c r="G21" s="47" t="n">
        <f aca="false">IF(C21="","",$B$7*(C21/100))</f>
        <v>17183877.7144431</v>
      </c>
      <c r="H21" s="47" t="n">
        <f aca="false">IF(D21="","",$B$8*(D21/100))</f>
        <v>26142168.9425763</v>
      </c>
      <c r="I21" s="47" t="n">
        <f aca="false">IF(E21="","",$B$9*(E21/100))</f>
        <v>42914571.9688639</v>
      </c>
      <c r="J21" s="48" t="n">
        <f aca="false">SUM(F21:I21)</f>
        <v>101327279.395058</v>
      </c>
      <c r="K21" s="37" t="n">
        <f aca="false">($B$6*$E$6+$B$7*$E$7+$B$8*$E$8+$B$9*$E$9)/365*(A21-$A$13)</f>
        <v>96164.3835616438</v>
      </c>
      <c r="L21" s="49" t="n">
        <f aca="false">'Futures Tracking'!C11</f>
        <v>112.78125</v>
      </c>
      <c r="M21" s="37" t="n">
        <f aca="false">'Futures Tracking'!F11</f>
        <v>296953.125</v>
      </c>
      <c r="N21" s="37" t="n">
        <f aca="false">'Futures Tracking'!H11-'Futures Tracking'!$O$3</f>
        <v>436495.809968719</v>
      </c>
      <c r="O21" s="50" t="n">
        <v>67.66875</v>
      </c>
      <c r="P21" s="48" t="n">
        <f aca="false">IF($B21="","",J21+K21+N21-O21)</f>
        <v>101859871.919838</v>
      </c>
      <c r="Q21" s="48" t="n">
        <f aca="false">IF($B21="","",P21-$K$10)</f>
        <v>1859871.91983788</v>
      </c>
    </row>
    <row r="22" customFormat="false" ht="13.5" hidden="false" customHeight="true" outlineLevel="0" collapsed="false">
      <c r="A22" s="28" t="n">
        <v>46086</v>
      </c>
      <c r="B22" s="49" t="n">
        <v>100.130903011869</v>
      </c>
      <c r="C22" s="49" t="n">
        <v>100.477214777503</v>
      </c>
      <c r="D22" s="49" t="n">
        <v>103.916528543207</v>
      </c>
      <c r="E22" s="49" t="n">
        <v>98.9103126681804</v>
      </c>
      <c r="F22" s="47" t="n">
        <f aca="false">IF(B22="","",$B$6*(B22/100))</f>
        <v>15019635.4517803</v>
      </c>
      <c r="G22" s="47" t="n">
        <f aca="false">IF(C22="","",$B$7*(C22/100))</f>
        <v>17081126.5121755</v>
      </c>
      <c r="H22" s="47" t="n">
        <f aca="false">IF(D22="","",$B$8*(D22/100))</f>
        <v>25979132.1358017</v>
      </c>
      <c r="I22" s="47" t="n">
        <f aca="false">IF(E22="","",$B$9*(E22/100))</f>
        <v>42531434.4473176</v>
      </c>
      <c r="J22" s="48" t="n">
        <f aca="false">SUM(F22:I22)</f>
        <v>100611328.547075</v>
      </c>
      <c r="K22" s="37" t="n">
        <f aca="false">($B$6*$E$6+$B$7*$E$7+$B$8*$E$8+$B$9*$E$9)/365*(A22-$A$13)</f>
        <v>108184.931506849</v>
      </c>
      <c r="L22" s="49" t="n">
        <f aca="false">'Futures Tracking'!C12</f>
        <v>112.3125</v>
      </c>
      <c r="M22" s="37" t="n">
        <f aca="false">'Futures Tracking'!F12</f>
        <v>593906.25</v>
      </c>
      <c r="N22" s="37" t="n">
        <f aca="false">'Futures Tracking'!H12-'Futures Tracking'!$O$3</f>
        <v>1030598.84021666</v>
      </c>
      <c r="O22" s="50"/>
      <c r="P22" s="48" t="n">
        <f aca="false">IF($B22="","",J22+K22+N22-O22)</f>
        <v>101750112.318799</v>
      </c>
      <c r="Q22" s="48" t="n">
        <f aca="false">IF($B22="","",P22-$K$10)</f>
        <v>1750112.31879869</v>
      </c>
    </row>
    <row r="23" customFormat="false" ht="13.5" hidden="false" customHeight="true" outlineLevel="0" collapsed="false">
      <c r="A23" s="28" t="n">
        <v>46087</v>
      </c>
      <c r="B23" s="49" t="n">
        <v>100.130774394518</v>
      </c>
      <c r="C23" s="49" t="n">
        <v>100.416834379679</v>
      </c>
      <c r="D23" s="49" t="n">
        <v>103.753664271991</v>
      </c>
      <c r="E23" s="49" t="n">
        <v>98.5317943439794</v>
      </c>
      <c r="F23" s="47" t="n">
        <f aca="false">IF(B23="","",$B$6*(B23/100))</f>
        <v>15019616.1591777</v>
      </c>
      <c r="G23" s="47" t="n">
        <f aca="false">IF(C23="","",$B$7*(C23/100))</f>
        <v>17070861.8445454</v>
      </c>
      <c r="H23" s="47" t="n">
        <f aca="false">IF(D23="","",$B$8*(D23/100))</f>
        <v>25938416.0679978</v>
      </c>
      <c r="I23" s="47" t="n">
        <f aca="false">IF(E23="","",$B$9*(E23/100))</f>
        <v>42368671.5679111</v>
      </c>
      <c r="J23" s="48" t="n">
        <f aca="false">SUM(F23:I23)</f>
        <v>100397565.639632</v>
      </c>
      <c r="K23" s="37" t="n">
        <f aca="false">($B$6*$E$6+$B$7*$E$7+$B$8*$E$8+$B$9*$E$9)/365*(A23-$A$13)</f>
        <v>120205.479452055</v>
      </c>
      <c r="L23" s="49" t="n">
        <f aca="false">'Futures Tracking'!C13</f>
        <v>112.4375</v>
      </c>
      <c r="M23" s="37" t="n">
        <f aca="false">'Futures Tracking'!F13</f>
        <v>-158375</v>
      </c>
      <c r="N23" s="37" t="n">
        <f aca="false">'Futures Tracking'!H13-'Futures Tracking'!$O$3</f>
        <v>872502.004441347</v>
      </c>
      <c r="O23" s="50"/>
      <c r="P23" s="48" t="n">
        <f aca="false">IF($B23="","",J23+K23+N23-O23)</f>
        <v>101390273.123525</v>
      </c>
      <c r="Q23" s="48" t="n">
        <f aca="false">IF($B23="","",P23-$K$10)</f>
        <v>1390273.12352543</v>
      </c>
    </row>
    <row r="24" customFormat="false" ht="13.5" hidden="false" customHeight="true" outlineLevel="0" collapsed="false">
      <c r="A24" s="28" t="n">
        <v>46088</v>
      </c>
      <c r="B24" s="49"/>
      <c r="C24" s="49"/>
      <c r="D24" s="49"/>
      <c r="E24" s="49"/>
      <c r="F24" s="47" t="str">
        <f aca="false">IF(B24="","",$B$6*(B24/100))</f>
        <v/>
      </c>
      <c r="G24" s="47" t="str">
        <f aca="false">IF(C24="","",$B$7*(C24/100))</f>
        <v/>
      </c>
      <c r="H24" s="47" t="str">
        <f aca="false">IF(D24="","",$B$8*(D24/100))</f>
        <v/>
      </c>
      <c r="I24" s="47" t="str">
        <f aca="false">IF(E24="","",$B$9*(E24/100))</f>
        <v/>
      </c>
      <c r="J24" s="48" t="n">
        <f aca="false">SUM(F24:I24)</f>
        <v>0</v>
      </c>
      <c r="K24" s="37" t="n">
        <f aca="false">($B$6*$E$6+$B$7*$E$7+$B$8*$E$8+$B$9*$E$9)/365*(A24-$A$13)</f>
        <v>132226.02739726</v>
      </c>
      <c r="L24" s="49" t="n">
        <f aca="false">'Futures Tracking'!C14</f>
        <v>0</v>
      </c>
      <c r="M24" s="37" t="n">
        <f aca="false">'Futures Tracking'!F14</f>
        <v>0</v>
      </c>
      <c r="N24" s="37" t="n">
        <f aca="false">'Futures Tracking'!H14-'Futures Tracking'!$O$3</f>
        <v>872758.511565244</v>
      </c>
      <c r="O24" s="50"/>
      <c r="P24" s="48" t="str">
        <f aca="false">IF($B24="","",J24+K24+N24-O24)</f>
        <v/>
      </c>
      <c r="Q24" s="48" t="str">
        <f aca="false">IF($B24="","",P24-$K$10)</f>
        <v/>
      </c>
    </row>
    <row r="25" customFormat="false" ht="13.5" hidden="false" customHeight="true" outlineLevel="0" collapsed="false">
      <c r="A25" s="28" t="n">
        <v>46089</v>
      </c>
      <c r="B25" s="49"/>
      <c r="C25" s="49"/>
      <c r="D25" s="49"/>
      <c r="E25" s="49"/>
      <c r="F25" s="47" t="str">
        <f aca="false">IF(B25="","",$B$6*(B25/100))</f>
        <v/>
      </c>
      <c r="G25" s="47" t="str">
        <f aca="false">IF(C25="","",$B$7*(C25/100))</f>
        <v/>
      </c>
      <c r="H25" s="47" t="str">
        <f aca="false">IF(D25="","",$B$8*(D25/100))</f>
        <v/>
      </c>
      <c r="I25" s="47" t="str">
        <f aca="false">IF(E25="","",$B$9*(E25/100))</f>
        <v/>
      </c>
      <c r="J25" s="48" t="n">
        <f aca="false">SUM(F25:I25)</f>
        <v>0</v>
      </c>
      <c r="K25" s="37" t="n">
        <f aca="false">($B$6*$E$6+$B$7*$E$7+$B$8*$E$8+$B$9*$E$9)/365*(A25-$A$13)</f>
        <v>144246.575342466</v>
      </c>
      <c r="L25" s="49" t="n">
        <f aca="false">'Futures Tracking'!C15</f>
        <v>0</v>
      </c>
      <c r="M25" s="37" t="n">
        <f aca="false">'Futures Tracking'!F15</f>
        <v>0</v>
      </c>
      <c r="N25" s="37" t="n">
        <f aca="false">'Futures Tracking'!H15-'Futures Tracking'!$O$3</f>
        <v>873015.053827102</v>
      </c>
      <c r="O25" s="50"/>
      <c r="P25" s="48" t="str">
        <f aca="false">IF($B25="","",J25+K25+N25-O25)</f>
        <v/>
      </c>
      <c r="Q25" s="48" t="str">
        <f aca="false">IF($B25="","",P25-$K$10)</f>
        <v/>
      </c>
    </row>
    <row r="26" customFormat="false" ht="13.5" hidden="false" customHeight="true" outlineLevel="0" collapsed="false">
      <c r="A26" s="28" t="n">
        <v>46090</v>
      </c>
      <c r="B26" s="49" t="n">
        <v>100.174847888434</v>
      </c>
      <c r="C26" s="49" t="n">
        <v>100.596573345862</v>
      </c>
      <c r="D26" s="49" t="n">
        <v>103.994054921348</v>
      </c>
      <c r="E26" s="49" t="n">
        <v>99.0374324473385</v>
      </c>
      <c r="F26" s="47" t="n">
        <f aca="false">IF(B26="","",$B$6*(B26/100))</f>
        <v>15026227.1832651</v>
      </c>
      <c r="G26" s="47" t="n">
        <f aca="false">IF(C26="","",$B$7*(C26/100))</f>
        <v>17101417.4687965</v>
      </c>
      <c r="H26" s="47" t="n">
        <f aca="false">IF(D26="","",$B$8*(D26/100))</f>
        <v>25998513.730337</v>
      </c>
      <c r="I26" s="47" t="n">
        <f aca="false">IF(E26="","",$B$9*(E26/100))</f>
        <v>42586095.9523556</v>
      </c>
      <c r="J26" s="48" t="n">
        <f aca="false">SUM(F26:I26)</f>
        <v>100712254.334754</v>
      </c>
      <c r="K26" s="37" t="n">
        <f aca="false">($B$6*$E$6+$B$7*$E$7+$B$8*$E$8+$B$9*$E$9)/365*(A26-$A$13)</f>
        <v>156267.123287671</v>
      </c>
      <c r="L26" s="49" t="n">
        <f aca="false">'Futures Tracking'!C16</f>
        <v>112.359375</v>
      </c>
      <c r="M26" s="37" t="n">
        <f aca="false">'Futures Tracking'!F16</f>
        <v>0</v>
      </c>
      <c r="N26" s="37" t="n">
        <f aca="false">'Futures Tracking'!H16-'Futures Tracking'!$O$3</f>
        <v>873271.631231736</v>
      </c>
      <c r="O26" s="50"/>
      <c r="P26" s="48" t="n">
        <f aca="false">IF($B26="","",J26+K26+N26-O26)</f>
        <v>101741793.089274</v>
      </c>
      <c r="Q26" s="48" t="n">
        <f aca="false">IF($B26="","",P26-$K$10)</f>
        <v>1741793.08927362</v>
      </c>
    </row>
    <row r="27" customFormat="false" ht="13.5" hidden="false" customHeight="true" outlineLevel="0" collapsed="false">
      <c r="A27" s="28" t="n">
        <v>46091</v>
      </c>
      <c r="B27" s="49" t="n">
        <v>100.085862879831</v>
      </c>
      <c r="C27" s="49" t="n">
        <v>100.415989893422</v>
      </c>
      <c r="D27" s="49" t="n">
        <v>103.750304549485</v>
      </c>
      <c r="E27" s="49" t="n">
        <v>98.5324415345995</v>
      </c>
      <c r="F27" s="47" t="n">
        <f aca="false">IF(B27="","",$B$6*(B27/100))</f>
        <v>15012879.4319746</v>
      </c>
      <c r="G27" s="47" t="n">
        <f aca="false">IF(C27="","",$B$7*(C27/100))</f>
        <v>17070718.2818817</v>
      </c>
      <c r="H27" s="47" t="n">
        <f aca="false">IF(D27="","",$B$8*(D27/100))</f>
        <v>25937576.1373713</v>
      </c>
      <c r="I27" s="47" t="n">
        <f aca="false">IF(E27="","",$B$9*(E27/100))</f>
        <v>42368949.8598778</v>
      </c>
      <c r="J27" s="48" t="n">
        <f aca="false">SUM(F27:I27)</f>
        <v>100390123.711105</v>
      </c>
      <c r="K27" s="37" t="n">
        <f aca="false">($B$6*$E$6+$B$7*$E$7+$B$8*$E$8+$B$9*$E$9)/365*(A27-$A$13)</f>
        <v>168287.671232877</v>
      </c>
      <c r="L27" s="49" t="n">
        <f aca="false">'Futures Tracking'!C17</f>
        <v>112.453125</v>
      </c>
      <c r="M27" s="37" t="n">
        <f aca="false">'Futures Tracking'!F17</f>
        <v>0</v>
      </c>
      <c r="N27" s="37" t="n">
        <f aca="false">'Futures Tracking'!H17-'Futures Tracking'!$O$3</f>
        <v>873528.243783959</v>
      </c>
      <c r="O27" s="50"/>
      <c r="P27" s="48" t="n">
        <f aca="false">IF($B27="","",J27+K27+N27-O27)</f>
        <v>101431939.626122</v>
      </c>
      <c r="Q27" s="48" t="n">
        <f aca="false">IF($B27="","",P27-$K$10)</f>
        <v>1431939.62612227</v>
      </c>
    </row>
    <row r="28" customFormat="false" ht="13.5" hidden="false" customHeight="true" outlineLevel="0" collapsed="false">
      <c r="A28" s="28" t="n">
        <v>46092</v>
      </c>
      <c r="B28" s="49" t="n">
        <v>100.174554529074</v>
      </c>
      <c r="C28" s="49" t="n">
        <v>100.596030319331</v>
      </c>
      <c r="D28" s="49" t="n">
        <v>103.992264331527</v>
      </c>
      <c r="E28" s="49" t="n">
        <v>99.0376764819706</v>
      </c>
      <c r="F28" s="47" t="n">
        <f aca="false">IF(B28="","",$B$6*(B28/100))</f>
        <v>15026183.1793611</v>
      </c>
      <c r="G28" s="47" t="n">
        <f aca="false">IF(C28="","",$B$7*(C28/100))</f>
        <v>17101325.1542863</v>
      </c>
      <c r="H28" s="47" t="n">
        <f aca="false">IF(D28="","",$B$8*(D28/100))</f>
        <v>25998066.0828818</v>
      </c>
      <c r="I28" s="47" t="n">
        <f aca="false">IF(E28="","",$B$9*(E28/100))</f>
        <v>42586200.8872474</v>
      </c>
      <c r="J28" s="48" t="n">
        <f aca="false">SUM(F28:I28)</f>
        <v>100711775.303776</v>
      </c>
      <c r="K28" s="37" t="n">
        <f aca="false">($B$6*$E$6+$B$7*$E$7+$B$8*$E$8+$B$9*$E$9)/365*(A28-$A$13)</f>
        <v>180308.219178082</v>
      </c>
      <c r="L28" s="49" t="n">
        <f aca="false">'Futures Tracking'!C18</f>
        <v>112.0625</v>
      </c>
      <c r="M28" s="37" t="n">
        <f aca="false">'Futures Tracking'!F18</f>
        <v>498046.875</v>
      </c>
      <c r="N28" s="37" t="n">
        <f aca="false">'Futures Tracking'!H18-'Futures Tracking'!$O$3</f>
        <v>1371831.76648859</v>
      </c>
      <c r="O28" s="50" t="n">
        <v>89.65</v>
      </c>
      <c r="P28" s="48" t="n">
        <f aca="false">IF($B28="","",J28+K28+N28-O28)</f>
        <v>102263825.639443</v>
      </c>
      <c r="Q28" s="48" t="n">
        <f aca="false">IF($B28="","",P28-$K$10)</f>
        <v>2263825.63944313</v>
      </c>
    </row>
    <row r="29" customFormat="false" ht="13.5" hidden="false" customHeight="true" outlineLevel="0" collapsed="false">
      <c r="A29" s="28" t="n">
        <v>46093</v>
      </c>
      <c r="B29" s="49" t="n">
        <v>99.4229642620831</v>
      </c>
      <c r="C29" s="49" t="n">
        <v>99.6390897470579</v>
      </c>
      <c r="D29" s="49" t="n">
        <v>102.784413345415</v>
      </c>
      <c r="E29" s="49" t="n">
        <v>97.0379407703152</v>
      </c>
      <c r="F29" s="47" t="n">
        <f aca="false">IF(B29="","",$B$6*(B29/100))</f>
        <v>14913444.6393125</v>
      </c>
      <c r="G29" s="47" t="n">
        <f aca="false">IF(C29="","",$B$7*(C29/100))</f>
        <v>16938645.2569998</v>
      </c>
      <c r="H29" s="47" t="n">
        <f aca="false">IF(D29="","",$B$8*(D29/100))</f>
        <v>25696103.3363538</v>
      </c>
      <c r="I29" s="47" t="n">
        <f aca="false">IF(E29="","",$B$9*(E29/100))</f>
        <v>41726314.5312355</v>
      </c>
      <c r="J29" s="48" t="n">
        <f aca="false">SUM(F29:I29)</f>
        <v>99274507.7639016</v>
      </c>
      <c r="K29" s="37" t="n">
        <f aca="false">($B$6*$E$6+$B$7*$E$7+$B$8*$E$8+$B$9*$E$9)/365*(A29-$A$13)</f>
        <v>192328.767123288</v>
      </c>
      <c r="L29" s="49" t="n">
        <f aca="false">'Futures Tracking'!C19</f>
        <v>111.40625</v>
      </c>
      <c r="M29" s="37" t="n">
        <f aca="false">'Futures Tracking'!F19</f>
        <v>836718.75</v>
      </c>
      <c r="N29" s="37" t="n">
        <f aca="false">'Futures Tracking'!H19-'Futures Tracking'!$O$3</f>
        <v>2208875.42494975</v>
      </c>
      <c r="O29" s="50"/>
      <c r="P29" s="48" t="n">
        <f aca="false">IF($B29="","",J29+K29+N29-O29)</f>
        <v>101675711.955975</v>
      </c>
      <c r="Q29" s="48" t="n">
        <f aca="false">IF($B29="","",P29-$K$10)</f>
        <v>1675711.95597462</v>
      </c>
    </row>
    <row r="30" customFormat="false" ht="13.5" hidden="false" customHeight="true" outlineLevel="0" collapsed="false">
      <c r="A30" s="28" t="n">
        <v>46094</v>
      </c>
      <c r="B30" s="49" t="n">
        <v>99.4672026283596</v>
      </c>
      <c r="C30" s="49" t="n">
        <v>99.579733234234</v>
      </c>
      <c r="D30" s="49" t="n">
        <v>102.703959621858</v>
      </c>
      <c r="E30" s="49" t="n">
        <v>96.6692463627537</v>
      </c>
      <c r="F30" s="47" t="n">
        <f aca="false">IF(B30="","",$B$6*(B30/100))</f>
        <v>14920080.3942539</v>
      </c>
      <c r="G30" s="47" t="n">
        <f aca="false">IF(C30="","",$B$7*(C30/100))</f>
        <v>16928554.6498198</v>
      </c>
      <c r="H30" s="47" t="n">
        <f aca="false">IF(D30="","",$B$8*(D30/100))</f>
        <v>25675989.9054645</v>
      </c>
      <c r="I30" s="47" t="n">
        <f aca="false">IF(E30="","",$B$9*(E30/100))</f>
        <v>41567775.9359841</v>
      </c>
      <c r="J30" s="48" t="n">
        <f aca="false">SUM(F30:I30)</f>
        <v>99092400.8855223</v>
      </c>
      <c r="K30" s="37" t="n">
        <f aca="false">($B$6*$E$6+$B$7*$E$7+$B$8*$E$8+$B$9*$E$9)/365*(A30-$A$13)</f>
        <v>204349.315068493</v>
      </c>
      <c r="L30" s="49" t="n">
        <f aca="false">'Futures Tracking'!C20</f>
        <v>111.40625</v>
      </c>
      <c r="M30" s="37" t="n">
        <f aca="false">'Futures Tracking'!F20</f>
        <v>-0</v>
      </c>
      <c r="N30" s="37" t="n">
        <f aca="false">'Futures Tracking'!H20-'Futures Tracking'!$O$3</f>
        <v>2209314.99692577</v>
      </c>
      <c r="O30" s="50"/>
      <c r="P30" s="48" t="n">
        <f aca="false">IF($B30="","",J30+K30+N30-O30)</f>
        <v>101506065.197517</v>
      </c>
      <c r="Q30" s="48" t="n">
        <f aca="false">IF($B30="","",P30-$K$10)</f>
        <v>1506065.19751658</v>
      </c>
    </row>
    <row r="31" customFormat="false" ht="13.5" hidden="false" customHeight="true" outlineLevel="0" collapsed="false">
      <c r="A31" s="28" t="n">
        <v>46095</v>
      </c>
      <c r="B31" s="49"/>
      <c r="C31" s="49"/>
      <c r="D31" s="49"/>
      <c r="E31" s="49"/>
      <c r="F31" s="47" t="str">
        <f aca="false">IF(B31="","",$B$6*(B31/100))</f>
        <v/>
      </c>
      <c r="G31" s="47" t="str">
        <f aca="false">IF(C31="","",$B$7*(C31/100))</f>
        <v/>
      </c>
      <c r="H31" s="47" t="str">
        <f aca="false">IF(D31="","",$B$8*(D31/100))</f>
        <v/>
      </c>
      <c r="I31" s="47" t="str">
        <f aca="false">IF(E31="","",$B$9*(E31/100))</f>
        <v/>
      </c>
      <c r="J31" s="48" t="n">
        <f aca="false">SUM(F31:I31)</f>
        <v>0</v>
      </c>
      <c r="K31" s="37" t="n">
        <f aca="false">($B$6*$E$6+$B$7*$E$7+$B$8*$E$8+$B$9*$E$9)/365*(A31-$A$13)</f>
        <v>216369.863013699</v>
      </c>
      <c r="L31" s="49" t="n">
        <f aca="false">'Futures Tracking'!C21</f>
        <v>0</v>
      </c>
      <c r="M31" s="37" t="n">
        <f aca="false">'Futures Tracking'!F21</f>
        <v>0</v>
      </c>
      <c r="N31" s="37" t="n">
        <f aca="false">'Futures Tracking'!H21-'Futures Tracking'!$O$3</f>
        <v>2209754.62911713</v>
      </c>
      <c r="O31" s="50"/>
      <c r="P31" s="48" t="str">
        <f aca="false">IF($B31="","",J31+K31+N31-O31)</f>
        <v/>
      </c>
      <c r="Q31" s="48" t="str">
        <f aca="false">IF($B31="","",P31-$K$10)</f>
        <v/>
      </c>
    </row>
    <row r="32" customFormat="false" ht="13.5" hidden="false" customHeight="true" outlineLevel="0" collapsed="false">
      <c r="A32" s="28" t="n">
        <v>46096</v>
      </c>
      <c r="B32" s="49"/>
      <c r="C32" s="49"/>
      <c r="D32" s="49"/>
      <c r="E32" s="49"/>
      <c r="F32" s="47" t="str">
        <f aca="false">IF(B32="","",$B$6*(B32/100))</f>
        <v/>
      </c>
      <c r="G32" s="47" t="str">
        <f aca="false">IF(C32="","",$B$7*(C32/100))</f>
        <v/>
      </c>
      <c r="H32" s="47" t="str">
        <f aca="false">IF(D32="","",$B$8*(D32/100))</f>
        <v/>
      </c>
      <c r="I32" s="47" t="str">
        <f aca="false">IF(E32="","",$B$9*(E32/100))</f>
        <v/>
      </c>
      <c r="J32" s="48" t="n">
        <f aca="false">SUM(F32:I32)</f>
        <v>0</v>
      </c>
      <c r="K32" s="37" t="n">
        <f aca="false">($B$6*$E$6+$B$7*$E$7+$B$8*$E$8+$B$9*$E$9)/365*(A32-$A$13)</f>
        <v>228390.410958904</v>
      </c>
      <c r="L32" s="49" t="n">
        <f aca="false">'Futures Tracking'!C22</f>
        <v>0</v>
      </c>
      <c r="M32" s="37" t="n">
        <f aca="false">'Futures Tracking'!F22</f>
        <v>0</v>
      </c>
      <c r="N32" s="37" t="n">
        <f aca="false">'Futures Tracking'!H22-'Futures Tracking'!$O$3</f>
        <v>2210194.32153208</v>
      </c>
      <c r="O32" s="50"/>
      <c r="P32" s="48" t="str">
        <f aca="false">IF($B32="","",J32+K32+N32-O32)</f>
        <v/>
      </c>
      <c r="Q32" s="48" t="str">
        <f aca="false">IF($B32="","",P32-$K$10)</f>
        <v/>
      </c>
    </row>
    <row r="33" customFormat="false" ht="13.5" hidden="false" customHeight="true" outlineLevel="0" collapsed="false">
      <c r="A33" s="28" t="n">
        <v>46097</v>
      </c>
      <c r="B33" s="49" t="n">
        <v>99.7760132697735</v>
      </c>
      <c r="C33" s="49" t="n">
        <v>99.9963625318828</v>
      </c>
      <c r="D33" s="49" t="n">
        <v>103.101913710282</v>
      </c>
      <c r="E33" s="49" t="n">
        <v>97.4098921231183</v>
      </c>
      <c r="F33" s="47" t="n">
        <f aca="false">IF(B33="","",$B$6*(B33/100))</f>
        <v>14966401.990466</v>
      </c>
      <c r="G33" s="47" t="n">
        <f aca="false">IF(C33="","",$B$7*(C33/100))</f>
        <v>16999381.6304201</v>
      </c>
      <c r="H33" s="47" t="n">
        <f aca="false">IF(D33="","",$B$8*(D33/100))</f>
        <v>25775478.4275705</v>
      </c>
      <c r="I33" s="47" t="n">
        <f aca="false">IF(E33="","",$B$9*(E33/100))</f>
        <v>41886253.6129409</v>
      </c>
      <c r="J33" s="48" t="n">
        <f aca="false">SUM(F33:I33)</f>
        <v>99627515.6613975</v>
      </c>
      <c r="K33" s="37" t="n">
        <f aca="false">($B$6*$E$6+$B$7*$E$7+$B$8*$E$8+$B$9*$E$9)/365*(A33-$A$13)</f>
        <v>240410.95890411</v>
      </c>
      <c r="L33" s="49" t="n">
        <f aca="false">'Futures Tracking'!C23</f>
        <v>111.890625</v>
      </c>
      <c r="M33" s="37" t="n">
        <f aca="false">'Futures Tracking'!F23</f>
        <v>0</v>
      </c>
      <c r="N33" s="37" t="n">
        <f aca="false">'Futures Tracking'!H23-'Futures Tracking'!$O$3</f>
        <v>2210634.07417886</v>
      </c>
      <c r="O33" s="50"/>
      <c r="P33" s="48" t="n">
        <f aca="false">IF($B33="","",J33+K33+N33-O33)</f>
        <v>102078560.69448</v>
      </c>
      <c r="Q33" s="48" t="n">
        <f aca="false">IF($B33="","",P33-$K$10)</f>
        <v>2078560.69448045</v>
      </c>
    </row>
    <row r="34" customFormat="false" ht="13.5" hidden="false" customHeight="true" outlineLevel="0" collapsed="false">
      <c r="A34" s="28" t="n">
        <v>46098</v>
      </c>
      <c r="B34" s="49" t="n">
        <v>99.8201671115172</v>
      </c>
      <c r="C34" s="49" t="n">
        <v>100.115600006499</v>
      </c>
      <c r="D34" s="49" t="n">
        <v>103.341894220487</v>
      </c>
      <c r="E34" s="49" t="n">
        <v>97.6583570065234</v>
      </c>
      <c r="F34" s="47" t="n">
        <f aca="false">IF(B34="","",$B$6*(B34/100))</f>
        <v>14973025.0667276</v>
      </c>
      <c r="G34" s="47" t="n">
        <f aca="false">IF(C34="","",$B$7*(C34/100))</f>
        <v>17019652.0011048</v>
      </c>
      <c r="H34" s="47" t="n">
        <f aca="false">IF(D34="","",$B$8*(D34/100))</f>
        <v>25835473.5551218</v>
      </c>
      <c r="I34" s="47" t="n">
        <f aca="false">IF(E34="","",$B$9*(E34/100))</f>
        <v>41993093.5128051</v>
      </c>
      <c r="J34" s="48" t="n">
        <f aca="false">SUM(F34:I34)</f>
        <v>99821244.1357592</v>
      </c>
      <c r="K34" s="37" t="n">
        <f aca="false">($B$6*$E$6+$B$7*$E$7+$B$8*$E$8+$B$9*$E$9)/365*(A34-$A$13)</f>
        <v>252431.506849315</v>
      </c>
      <c r="L34" s="49" t="n">
        <f aca="false">'Futures Tracking'!C24</f>
        <v>112</v>
      </c>
      <c r="M34" s="37" t="n">
        <f aca="false">'Futures Tracking'!F24</f>
        <v>0</v>
      </c>
      <c r="N34" s="37" t="n">
        <f aca="false">'Futures Tracking'!H24-'Futures Tracking'!$O$3</f>
        <v>2211073.88706574</v>
      </c>
      <c r="O34" s="50"/>
      <c r="P34" s="48" t="n">
        <f aca="false">IF($B34="","",J34+K34+N34-O34)</f>
        <v>102284749.529674</v>
      </c>
      <c r="Q34" s="48" t="n">
        <f aca="false">IF($B34="","",P34-$K$10)</f>
        <v>2284749.52967428</v>
      </c>
    </row>
    <row r="35" customFormat="false" ht="13.5" hidden="false" customHeight="true" outlineLevel="0" collapsed="false">
      <c r="A35" s="28" t="n">
        <v>46099</v>
      </c>
      <c r="B35" s="49" t="n">
        <v>99.4683062897882</v>
      </c>
      <c r="C35" s="49" t="n">
        <v>99.6988446650981</v>
      </c>
      <c r="D35" s="49" t="n">
        <v>102.860635296881</v>
      </c>
      <c r="E35" s="49" t="n">
        <v>97.2866615423434</v>
      </c>
      <c r="F35" s="47" t="n">
        <f aca="false">IF(B35="","",$B$6*(B35/100))</f>
        <v>14920245.9434682</v>
      </c>
      <c r="G35" s="47" t="n">
        <f aca="false">IF(C35="","",$B$7*(C35/100))</f>
        <v>16948803.5930667</v>
      </c>
      <c r="H35" s="47" t="n">
        <f aca="false">IF(D35="","",$B$8*(D35/100))</f>
        <v>25715158.8242203</v>
      </c>
      <c r="I35" s="47" t="n">
        <f aca="false">IF(E35="","",$B$9*(E35/100))</f>
        <v>41833264.4632077</v>
      </c>
      <c r="J35" s="48" t="n">
        <f aca="false">SUM(F35:I35)</f>
        <v>99417472.8239628</v>
      </c>
      <c r="K35" s="37" t="n">
        <f aca="false">($B$6*$E$6+$B$7*$E$7+$B$8*$E$8+$B$9*$E$9)/365*(A35-$A$13)</f>
        <v>264452.054794521</v>
      </c>
      <c r="L35" s="49" t="n">
        <f aca="false">'Futures Tracking'!C25</f>
        <v>111.546875</v>
      </c>
      <c r="M35" s="37" t="n">
        <f aca="false">'Futures Tracking'!F25</f>
        <v>0</v>
      </c>
      <c r="N35" s="37" t="n">
        <f aca="false">'Futures Tracking'!H25-'Futures Tracking'!$O$3</f>
        <v>2211513.76020095</v>
      </c>
      <c r="O35" s="50"/>
      <c r="P35" s="48" t="n">
        <f aca="false">IF($B35="","",J35+K35+N35-O35)</f>
        <v>101893438.638958</v>
      </c>
      <c r="Q35" s="48" t="n">
        <f aca="false">IF($B35="","",P35-$K$10)</f>
        <v>1893438.63895829</v>
      </c>
    </row>
    <row r="36" customFormat="false" ht="13.5" hidden="false" customHeight="true" outlineLevel="0" collapsed="false">
      <c r="A36" s="28" t="n">
        <v>46100</v>
      </c>
      <c r="B36" s="49" t="n">
        <v>99.4246662755581</v>
      </c>
      <c r="C36" s="49" t="n">
        <v>99.6395569834633</v>
      </c>
      <c r="D36" s="49" t="n">
        <v>102.939903854515</v>
      </c>
      <c r="E36" s="49" t="n">
        <v>97.5346819917159</v>
      </c>
      <c r="F36" s="47" t="n">
        <f aca="false">IF(B36="","",$B$6*(B36/100))</f>
        <v>14913699.9413337</v>
      </c>
      <c r="G36" s="47" t="n">
        <f aca="false">IF(C36="","",$B$7*(C36/100))</f>
        <v>16938724.6871888</v>
      </c>
      <c r="H36" s="47" t="n">
        <f aca="false">IF(D36="","",$B$8*(D36/100))</f>
        <v>25734975.9636287</v>
      </c>
      <c r="I36" s="47" t="n">
        <f aca="false">IF(E36="","",$B$9*(E36/100))</f>
        <v>41939913.2564378</v>
      </c>
      <c r="J36" s="48" t="n">
        <f aca="false">SUM(F36:I36)</f>
        <v>99527313.8485891</v>
      </c>
      <c r="K36" s="37" t="n">
        <f aca="false">($B$6*$E$6+$B$7*$E$7+$B$8*$E$8+$B$9*$E$9)/365*(A36-$A$13)</f>
        <v>276472.602739726</v>
      </c>
      <c r="L36" s="49" t="n">
        <f aca="false">'Futures Tracking'!C26</f>
        <v>111.21875</v>
      </c>
      <c r="M36" s="37" t="n">
        <f aca="false">'Futures Tracking'!F26</f>
        <v>0</v>
      </c>
      <c r="N36" s="37" t="n">
        <f aca="false">'Futures Tracking'!H26-'Futures Tracking'!$O$3</f>
        <v>2211953.69359276</v>
      </c>
      <c r="O36" s="50"/>
      <c r="P36" s="48" t="n">
        <f aca="false">IF($B36="","",J36+K36+N36-O36)</f>
        <v>102015740.144922</v>
      </c>
      <c r="Q36" s="48" t="n">
        <f aca="false">IF($B36="","",P36-$K$10)</f>
        <v>2015740.14492154</v>
      </c>
    </row>
    <row r="37" customFormat="false" ht="13.5" hidden="false" customHeight="true" outlineLevel="0" collapsed="false">
      <c r="A37" s="28" t="n">
        <v>46101</v>
      </c>
      <c r="B37" s="49" t="n">
        <v>98.8570103114555</v>
      </c>
      <c r="C37" s="49" t="n">
        <v>98.8134821236565</v>
      </c>
      <c r="D37" s="49" t="n">
        <v>101.827866486319</v>
      </c>
      <c r="E37" s="49" t="n">
        <v>95.6971966718386</v>
      </c>
      <c r="F37" s="47" t="n">
        <f aca="false">IF(B37="","",$B$6*(B37/100))</f>
        <v>14828551.5467183</v>
      </c>
      <c r="G37" s="47" t="n">
        <f aca="false">IF(C37="","",$B$7*(C37/100))</f>
        <v>16798291.9610216</v>
      </c>
      <c r="H37" s="47" t="n">
        <f aca="false">IF(D37="","",$B$8*(D37/100))</f>
        <v>25456966.6215797</v>
      </c>
      <c r="I37" s="47" t="n">
        <f aca="false">IF(E37="","",$B$9*(E37/100))</f>
        <v>41149794.5688906</v>
      </c>
      <c r="J37" s="48" t="n">
        <f aca="false">SUM(F37:I37)</f>
        <v>98233604.6982103</v>
      </c>
      <c r="K37" s="37" t="n">
        <f aca="false">($B$6*$E$6+$B$7*$E$7+$B$8*$E$8+$B$9*$E$9)/365*(A37-$A$13)</f>
        <v>288493.150684932</v>
      </c>
      <c r="L37" s="49" t="n">
        <f aca="false">'Futures Tracking'!C27</f>
        <v>110.5</v>
      </c>
      <c r="M37" s="37" t="n">
        <f aca="false">'Futures Tracking'!F27</f>
        <v>0</v>
      </c>
      <c r="N37" s="37" t="n">
        <f aca="false">'Futures Tracking'!H27-'Futures Tracking'!$O$3</f>
        <v>2212393.68724942</v>
      </c>
      <c r="O37" s="50"/>
      <c r="P37" s="48" t="n">
        <f aca="false">IF($B37="","",J37+K37+N37-O37)</f>
        <v>100734491.536145</v>
      </c>
      <c r="Q37" s="48" t="n">
        <f aca="false">IF($B37="","",P37-$K$10)</f>
        <v>734491.536144629</v>
      </c>
    </row>
    <row r="38" customFormat="false" ht="13.5" hidden="false" customHeight="true" outlineLevel="0" collapsed="false">
      <c r="A38" s="28" t="n">
        <v>46102</v>
      </c>
      <c r="B38" s="49"/>
      <c r="C38" s="49"/>
      <c r="D38" s="49"/>
      <c r="E38" s="49"/>
      <c r="F38" s="47" t="str">
        <f aca="false">IF(B38="","",$B$6*(B38/100))</f>
        <v/>
      </c>
      <c r="G38" s="47" t="str">
        <f aca="false">IF(C38="","",$B$7*(C38/100))</f>
        <v/>
      </c>
      <c r="H38" s="47" t="str">
        <f aca="false">IF(D38="","",$B$8*(D38/100))</f>
        <v/>
      </c>
      <c r="I38" s="47" t="str">
        <f aca="false">IF(E38="","",$B$9*(E38/100))</f>
        <v/>
      </c>
      <c r="J38" s="48" t="n">
        <f aca="false">SUM(F38:I38)</f>
        <v>0</v>
      </c>
      <c r="K38" s="37" t="n">
        <f aca="false">($B$6*$E$6+$B$7*$E$7+$B$8*$E$8+$B$9*$E$9)/365*(A38-$A$13)</f>
        <v>300513.698630137</v>
      </c>
      <c r="L38" s="49" t="n">
        <f aca="false">'Futures Tracking'!C28</f>
        <v>0</v>
      </c>
      <c r="M38" s="37" t="n">
        <f aca="false">'Futures Tracking'!F28</f>
        <v>0</v>
      </c>
      <c r="N38" s="37" t="n">
        <f aca="false">'Futures Tracking'!H28-'Futures Tracking'!$O$3</f>
        <v>2212833.74117918</v>
      </c>
      <c r="O38" s="50"/>
      <c r="P38" s="48" t="str">
        <f aca="false">IF($B38="","",J38+K38+N38-O38)</f>
        <v/>
      </c>
      <c r="Q38" s="48" t="str">
        <f aca="false">IF($B38="","",P38-$K$10)</f>
        <v/>
      </c>
    </row>
    <row r="39" customFormat="false" ht="13.5" hidden="false" customHeight="true" outlineLevel="0" collapsed="false">
      <c r="A39" s="28" t="n">
        <v>46103</v>
      </c>
      <c r="B39" s="49"/>
      <c r="C39" s="49"/>
      <c r="D39" s="49"/>
      <c r="E39" s="49"/>
      <c r="F39" s="47" t="str">
        <f aca="false">IF(B39="","",$B$6*(B39/100))</f>
        <v/>
      </c>
      <c r="G39" s="47" t="str">
        <f aca="false">IF(C39="","",$B$7*(C39/100))</f>
        <v/>
      </c>
      <c r="H39" s="47" t="str">
        <f aca="false">IF(D39="","",$B$8*(D39/100))</f>
        <v/>
      </c>
      <c r="I39" s="47" t="str">
        <f aca="false">IF(E39="","",$B$9*(E39/100))</f>
        <v/>
      </c>
      <c r="J39" s="48" t="n">
        <f aca="false">SUM(F39:I39)</f>
        <v>0</v>
      </c>
      <c r="K39" s="37" t="n">
        <f aca="false">($B$6*$E$6+$B$7*$E$7+$B$8*$E$8+$B$9*$E$9)/365*(A39-$A$13)</f>
        <v>312534.246575342</v>
      </c>
      <c r="L39" s="49" t="n">
        <f aca="false">'Futures Tracking'!C29</f>
        <v>0</v>
      </c>
      <c r="M39" s="37" t="n">
        <f aca="false">'Futures Tracking'!F29</f>
        <v>0</v>
      </c>
      <c r="N39" s="37" t="n">
        <f aca="false">'Futures Tracking'!H29-'Futures Tracking'!$O$3</f>
        <v>2213273.8553903</v>
      </c>
      <c r="O39" s="50"/>
      <c r="P39" s="48" t="str">
        <f aca="false">IF($B39="","",J39+K39+N39-O39)</f>
        <v/>
      </c>
      <c r="Q39" s="48" t="str">
        <f aca="false">IF($B39="","",P39-$K$10)</f>
        <v/>
      </c>
    </row>
    <row r="40" customFormat="false" ht="13.5" hidden="false" customHeight="true" outlineLevel="0" collapsed="false">
      <c r="A40" s="28" t="n">
        <v>46104</v>
      </c>
      <c r="B40" s="49" t="n">
        <v>99.1198691567291</v>
      </c>
      <c r="C40" s="49" t="n">
        <v>99.10839073602</v>
      </c>
      <c r="D40" s="49" t="n">
        <v>102.221763827685</v>
      </c>
      <c r="E40" s="49" t="n">
        <v>96.1838949547585</v>
      </c>
      <c r="F40" s="47" t="n">
        <f aca="false">IF(B40="","",$B$6*(B40/100))</f>
        <v>14867980.3735094</v>
      </c>
      <c r="G40" s="47" t="n">
        <f aca="false">IF(C40="","",$B$7*(C40/100))</f>
        <v>16848426.4251234</v>
      </c>
      <c r="H40" s="47" t="n">
        <f aca="false">IF(D40="","",$B$8*(D40/100))</f>
        <v>25555440.9569213</v>
      </c>
      <c r="I40" s="47" t="n">
        <f aca="false">IF(E40="","",$B$9*(E40/100))</f>
        <v>41359074.8305462</v>
      </c>
      <c r="J40" s="48" t="n">
        <f aca="false">SUM(F40:I40)</f>
        <v>98630922.5861002</v>
      </c>
      <c r="K40" s="37" t="n">
        <f aca="false">($B$6*$E$6+$B$7*$E$7+$B$8*$E$8+$B$9*$E$9)/365*(A40-$A$13)</f>
        <v>324554.794520548</v>
      </c>
      <c r="L40" s="49" t="n">
        <f aca="false">'Futures Tracking'!C30</f>
        <v>110.921875</v>
      </c>
      <c r="M40" s="37" t="n">
        <f aca="false">'Futures Tracking'!F30</f>
        <v>0</v>
      </c>
      <c r="N40" s="37" t="n">
        <f aca="false">'Futures Tracking'!H30-'Futures Tracking'!$O$3</f>
        <v>2213714.02989104</v>
      </c>
      <c r="O40" s="50"/>
      <c r="P40" s="48" t="n">
        <f aca="false">IF($B40="","",J40+K40+N40-O40)</f>
        <v>101169191.410512</v>
      </c>
      <c r="Q40" s="48" t="n">
        <f aca="false">IF($B40="","",P40-$K$10)</f>
        <v>1169191.41051173</v>
      </c>
    </row>
    <row r="41" customFormat="false" ht="13.5" hidden="false" customHeight="true" outlineLevel="0" collapsed="false">
      <c r="A41" s="28" t="n">
        <v>46105</v>
      </c>
      <c r="B41" s="49" t="n">
        <v>98.7723132655738</v>
      </c>
      <c r="C41" s="49" t="n">
        <v>98.7562960258249</v>
      </c>
      <c r="D41" s="49" t="n">
        <v>101.826400383415</v>
      </c>
      <c r="E41" s="49" t="n">
        <v>95.9411753499811</v>
      </c>
      <c r="F41" s="47" t="n">
        <f aca="false">IF(B41="","",$B$6*(B41/100))</f>
        <v>14815846.9898361</v>
      </c>
      <c r="G41" s="47" t="n">
        <f aca="false">IF(C41="","",$B$7*(C41/100))</f>
        <v>16788570.3243902</v>
      </c>
      <c r="H41" s="47" t="n">
        <f aca="false">IF(D41="","",$B$8*(D41/100))</f>
        <v>25456600.0958538</v>
      </c>
      <c r="I41" s="47" t="n">
        <f aca="false">IF(E41="","",$B$9*(E41/100))</f>
        <v>41254705.4004919</v>
      </c>
      <c r="J41" s="48" t="n">
        <f aca="false">SUM(F41:I41)</f>
        <v>98315722.8105719</v>
      </c>
      <c r="K41" s="37" t="n">
        <f aca="false">($B$6*$E$6+$B$7*$E$7+$B$8*$E$8+$B$9*$E$9)/365*(A41-$A$13)</f>
        <v>336575.342465753</v>
      </c>
      <c r="L41" s="49" t="n">
        <f aca="false">'Futures Tracking'!C31</f>
        <v>110.421875</v>
      </c>
      <c r="M41" s="37" t="n">
        <f aca="false">'Futures Tracking'!F31</f>
        <v>0</v>
      </c>
      <c r="N41" s="37" t="n">
        <f aca="false">'Futures Tracking'!H31-'Futures Tracking'!$O$3</f>
        <v>2214154.26468965</v>
      </c>
      <c r="O41" s="50"/>
      <c r="P41" s="48" t="n">
        <f aca="false">IF($B41="","",J41+K41+N41-O41)</f>
        <v>100866452.417727</v>
      </c>
      <c r="Q41" s="48" t="n">
        <f aca="false">IF($B41="","",P41-$K$10)</f>
        <v>866452.417727336</v>
      </c>
    </row>
    <row r="42" customFormat="false" ht="13.5" hidden="false" customHeight="true" outlineLevel="0" collapsed="false">
      <c r="A42" s="28" t="n">
        <v>46106</v>
      </c>
      <c r="B42" s="49" t="n">
        <v>99.0771366149035</v>
      </c>
      <c r="C42" s="49" t="n">
        <v>99.1089129410441</v>
      </c>
      <c r="D42" s="49" t="n">
        <v>102.300032467082</v>
      </c>
      <c r="E42" s="49" t="n">
        <v>96.5508246011933</v>
      </c>
      <c r="F42" s="47" t="n">
        <f aca="false">IF(B42="","",$B$6*(B42/100))</f>
        <v>14861570.4922355</v>
      </c>
      <c r="G42" s="47" t="n">
        <f aca="false">IF(C42="","",$B$7*(C42/100))</f>
        <v>16848515.1999775</v>
      </c>
      <c r="H42" s="47" t="n">
        <f aca="false">IF(D42="","",$B$8*(D42/100))</f>
        <v>25575008.1167705</v>
      </c>
      <c r="I42" s="47" t="n">
        <f aca="false">IF(E42="","",$B$9*(E42/100))</f>
        <v>41516854.5785131</v>
      </c>
      <c r="J42" s="48" t="n">
        <f aca="false">SUM(F42:I42)</f>
        <v>98801948.3874966</v>
      </c>
      <c r="K42" s="37" t="n">
        <f aca="false">($B$6*$E$6+$B$7*$E$7+$B$8*$E$8+$B$9*$E$9)/365*(A42-$A$13)</f>
        <v>348595.890410959</v>
      </c>
      <c r="L42" s="49" t="n">
        <f aca="false">'Futures Tracking'!C32</f>
        <v>110.859375</v>
      </c>
      <c r="M42" s="37" t="n">
        <f aca="false">'Futures Tracking'!F32</f>
        <v>-563937.5</v>
      </c>
      <c r="N42" s="37" t="n">
        <f aca="false">'Futures Tracking'!H32-'Futures Tracking'!$O$3</f>
        <v>1650657.0597944</v>
      </c>
      <c r="O42" s="50" t="n">
        <v>155.203125</v>
      </c>
      <c r="P42" s="48" t="n">
        <f aca="false">IF($B42="","",J42+K42+N42-O42)</f>
        <v>100801046.134577</v>
      </c>
      <c r="Q42" s="48" t="n">
        <f aca="false">IF($B42="","",P42-$K$10)</f>
        <v>801046.134576991</v>
      </c>
    </row>
    <row r="43" customFormat="false" ht="13.5" hidden="false" customHeight="true" outlineLevel="0" collapsed="false">
      <c r="A43" s="28" t="n">
        <v>46107</v>
      </c>
      <c r="B43" s="49" t="n">
        <v>98.556952985508</v>
      </c>
      <c r="C43" s="49" t="n">
        <v>98.5231297189375</v>
      </c>
      <c r="D43" s="49" t="n">
        <v>101.589717894509</v>
      </c>
      <c r="E43" s="49" t="n">
        <v>95.8207630110965</v>
      </c>
      <c r="F43" s="47" t="n">
        <f aca="false">IF(B43="","",$B$6*(B43/100))</f>
        <v>14783542.9478262</v>
      </c>
      <c r="G43" s="47" t="n">
        <f aca="false">IF(C43="","",$B$7*(C43/100))</f>
        <v>16748932.0522194</v>
      </c>
      <c r="H43" s="47" t="n">
        <f aca="false">IF(D43="","",$B$8*(D43/100))</f>
        <v>25397429.4736272</v>
      </c>
      <c r="I43" s="47" t="n">
        <f aca="false">IF(E43="","",$B$9*(E43/100))</f>
        <v>41202928.0947715</v>
      </c>
      <c r="J43" s="48" t="n">
        <f aca="false">SUM(F43:I43)</f>
        <v>98132832.5684443</v>
      </c>
      <c r="K43" s="37" t="n">
        <f aca="false">($B$6*$E$6+$B$7*$E$7+$B$8*$E$8+$B$9*$E$9)/365*(A43-$A$13)</f>
        <v>360616.438356164</v>
      </c>
      <c r="L43" s="49" t="n">
        <f aca="false">'Futures Tracking'!C33</f>
        <v>110.171875</v>
      </c>
      <c r="M43" s="37" t="n">
        <f aca="false">'Futures Tracking'!F33</f>
        <v>886187.5</v>
      </c>
      <c r="N43" s="37" t="n">
        <f aca="false">'Futures Tracking'!H33-'Futures Tracking'!$O$3</f>
        <v>2537207.66350122</v>
      </c>
      <c r="O43" s="50"/>
      <c r="P43" s="48" t="n">
        <f aca="false">IF($B43="","",J43+K43+N43-O43)</f>
        <v>101030656.670302</v>
      </c>
      <c r="Q43" s="48" t="n">
        <f aca="false">IF($B43="","",P43-$K$10)</f>
        <v>1030656.67030169</v>
      </c>
    </row>
    <row r="44" customFormat="false" ht="13.5" hidden="false" customHeight="true" outlineLevel="0" collapsed="false">
      <c r="A44" s="28" t="n">
        <v>46108</v>
      </c>
      <c r="B44" s="49" t="n">
        <v>98.6441574230746</v>
      </c>
      <c r="C44" s="49" t="n">
        <v>98.5235957400005</v>
      </c>
      <c r="D44" s="49" t="n">
        <v>101.432507508478</v>
      </c>
      <c r="E44" s="49" t="n">
        <v>95.4587463895671</v>
      </c>
      <c r="F44" s="47" t="n">
        <f aca="false">IF(B44="","",$B$6*(B44/100))</f>
        <v>14796623.6134612</v>
      </c>
      <c r="G44" s="47" t="n">
        <f aca="false">IF(C44="","",$B$7*(C44/100))</f>
        <v>16749011.2758001</v>
      </c>
      <c r="H44" s="47" t="n">
        <f aca="false">IF(D44="","",$B$8*(D44/100))</f>
        <v>25358126.8771195</v>
      </c>
      <c r="I44" s="47" t="n">
        <f aca="false">IF(E44="","",$B$9*(E44/100))</f>
        <v>41047260.9475139</v>
      </c>
      <c r="J44" s="48" t="n">
        <f aca="false">SUM(F44:I44)</f>
        <v>97951022.7138946</v>
      </c>
      <c r="K44" s="37" t="n">
        <f aca="false">($B$6*$E$6+$B$7*$E$7+$B$8*$E$8+$B$9*$E$9)/365*(A44-$A$13)</f>
        <v>372636.98630137</v>
      </c>
      <c r="L44" s="49" t="n">
        <f aca="false">'Futures Tracking'!C34</f>
        <v>110.15625</v>
      </c>
      <c r="M44" s="37" t="n">
        <f aca="false">'Futures Tracking'!F34</f>
        <v>20140.625</v>
      </c>
      <c r="N44" s="37" t="n">
        <f aca="false">'Futures Tracking'!H34-'Futures Tracking'!$O$3</f>
        <v>2557832.83749622</v>
      </c>
      <c r="O44" s="50"/>
      <c r="P44" s="48" t="n">
        <f aca="false">IF($B44="","",J44+K44+N44-O44)</f>
        <v>100881492.537692</v>
      </c>
      <c r="Q44" s="48" t="n">
        <f aca="false">IF($B44="","",P44-$K$10)</f>
        <v>881492.537692204</v>
      </c>
    </row>
    <row r="45" customFormat="false" ht="13.5" hidden="false" customHeight="true" outlineLevel="0" collapsed="false">
      <c r="A45" s="28" t="n">
        <v>46109</v>
      </c>
      <c r="B45" s="49"/>
      <c r="C45" s="49"/>
      <c r="D45" s="49"/>
      <c r="E45" s="49"/>
      <c r="F45" s="47" t="str">
        <f aca="false">IF(B45="","",$B$6*(B45/100))</f>
        <v/>
      </c>
      <c r="G45" s="47" t="str">
        <f aca="false">IF(C45="","",$B$7*(C45/100))</f>
        <v/>
      </c>
      <c r="H45" s="47" t="str">
        <f aca="false">IF(D45="","",$B$8*(D45/100))</f>
        <v/>
      </c>
      <c r="I45" s="47" t="str">
        <f aca="false">IF(E45="","",$B$9*(E45/100))</f>
        <v/>
      </c>
      <c r="J45" s="48" t="n">
        <f aca="false">SUM(F45:I45)</f>
        <v>0</v>
      </c>
      <c r="K45" s="37" t="n">
        <f aca="false">($B$6*$E$6+$B$7*$E$7+$B$8*$E$8+$B$9*$E$9)/365*(A45-$A$13)</f>
        <v>384657.534246575</v>
      </c>
      <c r="L45" s="49" t="n">
        <f aca="false">'Futures Tracking'!C35</f>
        <v>0</v>
      </c>
      <c r="M45" s="37" t="n">
        <f aca="false">'Futures Tracking'!F35</f>
        <v>0</v>
      </c>
      <c r="N45" s="37" t="n">
        <f aca="false">'Futures Tracking'!H35-'Futures Tracking'!$O$3</f>
        <v>2558320.21185752</v>
      </c>
      <c r="O45" s="50"/>
      <c r="P45" s="48" t="str">
        <f aca="false">IF($B45="","",J45+K45+N45-O45)</f>
        <v/>
      </c>
      <c r="Q45" s="48" t="str">
        <f aca="false">IF($B45="","",P45-$K$10)</f>
        <v/>
      </c>
    </row>
    <row r="46" customFormat="false" ht="13.5" hidden="false" customHeight="true" outlineLevel="0" collapsed="false">
      <c r="A46" s="28" t="n">
        <v>46110</v>
      </c>
      <c r="B46" s="49"/>
      <c r="C46" s="49"/>
      <c r="D46" s="49"/>
      <c r="E46" s="49"/>
      <c r="F46" s="47" t="str">
        <f aca="false">IF(B46="","",$B$6*(B46/100))</f>
        <v/>
      </c>
      <c r="G46" s="47" t="str">
        <f aca="false">IF(C46="","",$B$7*(C46/100))</f>
        <v/>
      </c>
      <c r="H46" s="47" t="str">
        <f aca="false">IF(D46="","",$B$8*(D46/100))</f>
        <v/>
      </c>
      <c r="I46" s="47" t="str">
        <f aca="false">IF(E46="","",$B$9*(E46/100))</f>
        <v/>
      </c>
      <c r="J46" s="48" t="n">
        <f aca="false">SUM(F46:I46)</f>
        <v>0</v>
      </c>
      <c r="K46" s="37" t="n">
        <f aca="false">($B$6*$E$6+$B$7*$E$7+$B$8*$E$8+$B$9*$E$9)/365*(A46-$A$13)</f>
        <v>396678.082191781</v>
      </c>
      <c r="L46" s="49" t="n">
        <f aca="false">'Futures Tracking'!C36</f>
        <v>0</v>
      </c>
      <c r="M46" s="37" t="n">
        <f aca="false">'Futures Tracking'!F36</f>
        <v>0</v>
      </c>
      <c r="N46" s="37" t="n">
        <f aca="false">'Futures Tracking'!H36-'Futures Tracking'!$O$3</f>
        <v>2558807.65298244</v>
      </c>
      <c r="O46" s="50"/>
      <c r="P46" s="48" t="str">
        <f aca="false">IF($B46="","",J46+K46+N46-O46)</f>
        <v/>
      </c>
      <c r="Q46" s="48" t="str">
        <f aca="false">IF($B46="","",P46-$K$10)</f>
        <v/>
      </c>
    </row>
    <row r="47" customFormat="false" ht="13.5" hidden="false" customHeight="true" outlineLevel="0" collapsed="false">
      <c r="A47" s="28" t="n">
        <v>46111</v>
      </c>
      <c r="B47" s="49" t="n">
        <v>99.0358973532816</v>
      </c>
      <c r="C47" s="49" t="n">
        <v>99.0515354984609</v>
      </c>
      <c r="D47" s="49" t="n">
        <v>102.139578205255</v>
      </c>
      <c r="E47" s="49" t="n">
        <v>96.3084244030463</v>
      </c>
      <c r="F47" s="47" t="n">
        <f aca="false">IF(B47="","",$B$6*(B47/100))</f>
        <v>14855384.6029922</v>
      </c>
      <c r="G47" s="47" t="n">
        <f aca="false">IF(C47="","",$B$7*(C47/100))</f>
        <v>16838761.0347384</v>
      </c>
      <c r="H47" s="47" t="n">
        <f aca="false">IF(D47="","",$B$8*(D47/100))</f>
        <v>25534894.5513138</v>
      </c>
      <c r="I47" s="47" t="n">
        <f aca="false">IF(E47="","",$B$9*(E47/100))</f>
        <v>41412622.4933099</v>
      </c>
      <c r="J47" s="48" t="n">
        <f aca="false">SUM(F47:I47)</f>
        <v>98641662.6823542</v>
      </c>
      <c r="K47" s="37" t="n">
        <f aca="false">($B$6*$E$6+$B$7*$E$7+$B$8*$E$8+$B$9*$E$9)/365*(A47-$A$13)</f>
        <v>408698.630136986</v>
      </c>
      <c r="L47" s="49" t="n">
        <f aca="false">'Futures Tracking'!C37</f>
        <v>110.8125</v>
      </c>
      <c r="M47" s="37" t="n">
        <f aca="false">'Futures Tracking'!F37</f>
        <v>0</v>
      </c>
      <c r="N47" s="37" t="n">
        <f aca="false">'Futures Tracking'!H37-'Futures Tracking'!$O$3</f>
        <v>2559295.16088011</v>
      </c>
      <c r="O47" s="50"/>
      <c r="P47" s="48" t="n">
        <f aca="false">IF($B47="","",J47+K47+N47-O47)</f>
        <v>101609656.473371</v>
      </c>
      <c r="Q47" s="48" t="n">
        <f aca="false">IF($B47="","",P47-$K$10)</f>
        <v>1609656.47337133</v>
      </c>
    </row>
    <row r="48" customFormat="false" ht="13.5" hidden="false" customHeight="true" outlineLevel="0" collapsed="false">
      <c r="A48" s="28" t="n">
        <v>46112</v>
      </c>
      <c r="B48" s="49" t="n">
        <v>99.2535560125057</v>
      </c>
      <c r="C48" s="49" t="n">
        <v>99.3456552541306</v>
      </c>
      <c r="D48" s="49" t="n">
        <v>102.534862233368</v>
      </c>
      <c r="E48" s="49" t="n">
        <v>96.7980090145833</v>
      </c>
      <c r="F48" s="47" t="n">
        <f aca="false">IF(B48="","",$B$6*(B48/100))</f>
        <v>14888033.4018759</v>
      </c>
      <c r="G48" s="47" t="n">
        <f aca="false">IF(C48="","",$B$7*(C48/100))</f>
        <v>16888761.3932022</v>
      </c>
      <c r="H48" s="47" t="n">
        <f aca="false">IF(D48="","",$B$8*(D48/100))</f>
        <v>25633715.558342</v>
      </c>
      <c r="I48" s="47" t="n">
        <f aca="false">IF(E48="","",$B$9*(E48/100))</f>
        <v>41623143.8762708</v>
      </c>
      <c r="J48" s="48" t="n">
        <f aca="false">SUM(F48:I48)</f>
        <v>99033654.2296909</v>
      </c>
      <c r="K48" s="37" t="n">
        <f aca="false">($B$6*$E$6+$B$7*$E$7+$B$8*$E$8+$B$9*$E$9)/365*(A48-$A$13)</f>
        <v>420719.178082192</v>
      </c>
      <c r="L48" s="49" t="n">
        <f aca="false">'Futures Tracking'!C38</f>
        <v>111.046875</v>
      </c>
      <c r="M48" s="37" t="n">
        <f aca="false">'Futures Tracking'!F38</f>
        <v>0</v>
      </c>
      <c r="N48" s="37" t="n">
        <f aca="false">'Futures Tracking'!H38-'Futures Tracking'!$O$3</f>
        <v>2559782.73555968</v>
      </c>
      <c r="O48" s="50"/>
      <c r="P48" s="48" t="n">
        <f aca="false">IF($B48="","",J48+K48+N48-O48)</f>
        <v>102014156.143333</v>
      </c>
      <c r="Q48" s="48" t="n">
        <f aca="false">IF($B48="","",P48-$K$10)</f>
        <v>2014156.14333275</v>
      </c>
    </row>
    <row r="49" customFormat="false" ht="13.5" hidden="false" customHeight="true" outlineLevel="0" collapsed="false">
      <c r="A49" s="28" t="n">
        <v>46113</v>
      </c>
      <c r="B49" s="49" t="n">
        <v>99.036821420712</v>
      </c>
      <c r="C49" s="49" t="n">
        <v>99.0521163245347</v>
      </c>
      <c r="D49" s="49" t="n">
        <v>102.13872294675</v>
      </c>
      <c r="E49" s="49" t="n">
        <v>96.3092006663837</v>
      </c>
      <c r="F49" s="47" t="n">
        <f aca="false">IF(B49="","",$B$6*(B49/100))</f>
        <v>14855523.2131068</v>
      </c>
      <c r="G49" s="47" t="n">
        <f aca="false">IF(C49="","",$B$7*(C49/100))</f>
        <v>16838859.7751709</v>
      </c>
      <c r="H49" s="47" t="n">
        <f aca="false">IF(D49="","",$B$8*(D49/100))</f>
        <v>25534680.7366875</v>
      </c>
      <c r="I49" s="47" t="n">
        <f aca="false">IF(E49="","",$B$9*(E49/100))</f>
        <v>41412956.286545</v>
      </c>
      <c r="J49" s="48" t="n">
        <f aca="false">SUM(F49:I49)</f>
        <v>98642020.0115102</v>
      </c>
      <c r="K49" s="37" t="n">
        <f aca="false">($B$6*$E$6+$B$7*$E$7+$B$8*$E$8+$B$9*$E$9)/365*(A49-$A$13)</f>
        <v>432739.726027397</v>
      </c>
      <c r="L49" s="49" t="n">
        <f aca="false">'Futures Tracking'!C39</f>
        <v>111</v>
      </c>
      <c r="M49" s="37" t="n">
        <f aca="false">'Futures Tracking'!F39</f>
        <v>60328.125</v>
      </c>
      <c r="N49" s="37" t="n">
        <f aca="false">'Futures Tracking'!H39-'Futures Tracking'!$O$3</f>
        <v>2620598.5020303</v>
      </c>
      <c r="O49" s="50" t="n">
        <v>22.2</v>
      </c>
      <c r="P49" s="48" t="n">
        <f aca="false">IF($B49="","",J49+K49+N49-O49)</f>
        <v>101695336.039568</v>
      </c>
      <c r="Q49" s="48" t="n">
        <f aca="false">IF($B49="","",P49-$K$10)</f>
        <v>1695336.03956789</v>
      </c>
    </row>
    <row r="50" customFormat="false" ht="13.5" hidden="false" customHeight="true" outlineLevel="0" collapsed="false">
      <c r="A50" s="28" t="n">
        <v>46114</v>
      </c>
      <c r="B50" s="49" t="n">
        <v>99.1674032722115</v>
      </c>
      <c r="C50" s="49" t="n">
        <v>99.2872287339404</v>
      </c>
      <c r="D50" s="49" t="n">
        <v>102.454571057976</v>
      </c>
      <c r="E50" s="49" t="n">
        <v>96.7987075892657</v>
      </c>
      <c r="F50" s="47" t="n">
        <f aca="false">IF(B50="","",$B$6*(B50/100))</f>
        <v>14875110.4908317</v>
      </c>
      <c r="G50" s="47" t="n">
        <f aca="false">IF(C50="","",$B$7*(C50/100))</f>
        <v>16878828.8847699</v>
      </c>
      <c r="H50" s="47" t="n">
        <f aca="false">IF(D50="","",$B$8*(D50/100))</f>
        <v>25613642.764494</v>
      </c>
      <c r="I50" s="47" t="n">
        <f aca="false">IF(E50="","",$B$9*(E50/100))</f>
        <v>41623444.2633843</v>
      </c>
      <c r="J50" s="48" t="n">
        <f aca="false">SUM(F50:I50)</f>
        <v>98991026.4034798</v>
      </c>
      <c r="K50" s="37" t="n">
        <f aca="false">($B$6*$E$6+$B$7*$E$7+$B$8*$E$8+$B$9*$E$9)/365*(A50-$A$13)</f>
        <v>444760.273972603</v>
      </c>
      <c r="L50" s="49" t="n">
        <f aca="false">'Futures Tracking'!C40</f>
        <v>111.015625</v>
      </c>
      <c r="M50" s="37" t="n">
        <f aca="false">'Futures Tracking'!F40</f>
        <v>-20109.375</v>
      </c>
      <c r="N50" s="37" t="n">
        <f aca="false">'Futures Tracking'!H40-'Futures Tracking'!$O$3</f>
        <v>2600985.09942784</v>
      </c>
      <c r="O50" s="50"/>
      <c r="P50" s="48" t="n">
        <f aca="false">IF($B50="","",J50+K50+N50-O50)</f>
        <v>102036771.77688</v>
      </c>
      <c r="Q50" s="48" t="n">
        <f aca="false">IF($B50="","",P50-$K$10)</f>
        <v>2036771.77688028</v>
      </c>
    </row>
    <row r="51" customFormat="false" ht="13.5" hidden="false" customHeight="true" outlineLevel="0" collapsed="false">
      <c r="A51" s="28" t="n">
        <v>46115</v>
      </c>
      <c r="B51" s="49" t="n">
        <v>99.037750189111</v>
      </c>
      <c r="C51" s="49" t="n">
        <v>99.1113264166457</v>
      </c>
      <c r="D51" s="49" t="n">
        <v>102.29582694421</v>
      </c>
      <c r="E51" s="49" t="n">
        <v>96.4319458407939</v>
      </c>
      <c r="F51" s="47" t="n">
        <f aca="false">IF(B51="","",$B$6*(B51/100))</f>
        <v>14855662.5283667</v>
      </c>
      <c r="G51" s="47" t="n">
        <f aca="false">IF(C51="","",$B$7*(C51/100))</f>
        <v>16848925.4908298</v>
      </c>
      <c r="H51" s="47" t="n">
        <f aca="false">IF(D51="","",$B$8*(D51/100))</f>
        <v>25573956.7360525</v>
      </c>
      <c r="I51" s="47" t="n">
        <f aca="false">IF(E51="","",$B$9*(E51/100))</f>
        <v>41465736.7115414</v>
      </c>
      <c r="J51" s="48" t="n">
        <f aca="false">SUM(F51:I51)</f>
        <v>98744281.4667903</v>
      </c>
      <c r="K51" s="37" t="n">
        <f aca="false">($B$6*$E$6+$B$7*$E$7+$B$8*$E$8+$B$9*$E$9)/365*(A51-$A$13)</f>
        <v>456780.821917808</v>
      </c>
      <c r="L51" s="49" t="n">
        <f aca="false">'Futures Tracking'!C41</f>
        <v>110.75</v>
      </c>
      <c r="M51" s="37" t="n">
        <f aca="false">'Futures Tracking'!F41</f>
        <v>342656.25</v>
      </c>
      <c r="N51" s="37" t="n">
        <f aca="false">'Futures Tracking'!H41-'Futures Tracking'!$O$3</f>
        <v>2944134.6350579</v>
      </c>
      <c r="O51" s="50" t="n">
        <v>33.225</v>
      </c>
      <c r="P51" s="48" t="n">
        <f aca="false">IF($B51="","",J51+K51+N51-O51)</f>
        <v>102145163.698766</v>
      </c>
      <c r="Q51" s="48" t="n">
        <f aca="false">IF($B51="","",P51-$K$10)</f>
        <v>2145163.69876599</v>
      </c>
    </row>
    <row r="52" customFormat="false" ht="13.5" hidden="false" customHeight="true" outlineLevel="0" collapsed="false">
      <c r="A52" s="28" t="n">
        <v>46116</v>
      </c>
      <c r="B52" s="49"/>
      <c r="C52" s="49"/>
      <c r="D52" s="49"/>
      <c r="E52" s="49"/>
      <c r="F52" s="47" t="str">
        <f aca="false">IF(B52="","",$B$6*(B52/100))</f>
        <v/>
      </c>
      <c r="G52" s="47" t="str">
        <f aca="false">IF(C52="","",$B$7*(C52/100))</f>
        <v/>
      </c>
      <c r="H52" s="47" t="str">
        <f aca="false">IF(D52="","",$B$8*(D52/100))</f>
        <v/>
      </c>
      <c r="I52" s="47" t="str">
        <f aca="false">IF(E52="","",$B$9*(E52/100))</f>
        <v/>
      </c>
      <c r="J52" s="48" t="n">
        <f aca="false">SUM(F52:I52)</f>
        <v>0</v>
      </c>
      <c r="K52" s="37" t="n">
        <f aca="false">($B$6*$E$6+$B$7*$E$7+$B$8*$E$8+$B$9*$E$9)/365*(A52-$A$13)</f>
        <v>468801.369863014</v>
      </c>
      <c r="L52" s="49" t="n">
        <f aca="false">'Futures Tracking'!C42</f>
        <v>0</v>
      </c>
      <c r="M52" s="37" t="n">
        <f aca="false">'Futures Tracking'!F42</f>
        <v>0</v>
      </c>
      <c r="N52" s="37" t="n">
        <f aca="false">'Futures Tracking'!H42-'Futures Tracking'!$O$3</f>
        <v>2944674.92747366</v>
      </c>
      <c r="O52" s="50"/>
      <c r="P52" s="48" t="str">
        <f aca="false">IF($B52="","",J52+K52+N52-O52)</f>
        <v/>
      </c>
      <c r="Q52" s="48" t="str">
        <f aca="false">IF($B52="","",P52-$K$10)</f>
        <v/>
      </c>
    </row>
    <row r="53" customFormat="false" ht="13.5" hidden="false" customHeight="true" outlineLevel="0" collapsed="false">
      <c r="A53" s="28" t="n">
        <v>46117</v>
      </c>
      <c r="B53" s="49"/>
      <c r="C53" s="49"/>
      <c r="D53" s="49"/>
      <c r="E53" s="49"/>
      <c r="F53" s="47" t="str">
        <f aca="false">IF(B53="","",$B$6*(B53/100))</f>
        <v/>
      </c>
      <c r="G53" s="47" t="str">
        <f aca="false">IF(C53="","",$B$7*(C53/100))</f>
        <v/>
      </c>
      <c r="H53" s="47" t="str">
        <f aca="false">IF(D53="","",$B$8*(D53/100))</f>
        <v/>
      </c>
      <c r="I53" s="47" t="str">
        <f aca="false">IF(E53="","",$B$9*(E53/100))</f>
        <v/>
      </c>
      <c r="J53" s="48" t="n">
        <f aca="false">SUM(F53:I53)</f>
        <v>0</v>
      </c>
      <c r="K53" s="37" t="n">
        <f aca="false">($B$6*$E$6+$B$7*$E$7+$B$8*$E$8+$B$9*$E$9)/365*(A53-$A$13)</f>
        <v>480821.917808219</v>
      </c>
      <c r="L53" s="49" t="n">
        <f aca="false">'Futures Tracking'!C43</f>
        <v>0</v>
      </c>
      <c r="M53" s="37" t="n">
        <f aca="false">'Futures Tracking'!F43</f>
        <v>0</v>
      </c>
      <c r="N53" s="37" t="n">
        <f aca="false">'Futures Tracking'!H43-'Futures Tracking'!$O$3</f>
        <v>2945215.29390208</v>
      </c>
      <c r="O53" s="50"/>
      <c r="P53" s="48" t="str">
        <f aca="false">IF($B53="","",J53+K53+N53-O53)</f>
        <v/>
      </c>
      <c r="Q53" s="48" t="str">
        <f aca="false">IF($B53="","",P53-$K$10)</f>
        <v/>
      </c>
    </row>
    <row r="54" customFormat="false" ht="13.5" hidden="false" customHeight="true" outlineLevel="0" collapsed="false">
      <c r="A54" s="28" t="n">
        <v>46118</v>
      </c>
      <c r="B54" s="49" t="n">
        <v>98.9959127337036</v>
      </c>
      <c r="C54" s="49" t="n">
        <v>99.0535909664941</v>
      </c>
      <c r="D54" s="49" t="n">
        <v>102.215494547565</v>
      </c>
      <c r="E54" s="49" t="n">
        <v>96.6775801222011</v>
      </c>
      <c r="F54" s="47" t="n">
        <f aca="false">IF(B54="","",$B$6*(B54/100))</f>
        <v>14849386.9100555</v>
      </c>
      <c r="G54" s="47" t="n">
        <f aca="false">IF(C54="","",$B$7*(C54/100))</f>
        <v>16839110.464304</v>
      </c>
      <c r="H54" s="47" t="n">
        <f aca="false">IF(D54="","",$B$8*(D54/100))</f>
        <v>25553873.6368913</v>
      </c>
      <c r="I54" s="47" t="n">
        <f aca="false">IF(E54="","",$B$9*(E54/100))</f>
        <v>41571359.4525465</v>
      </c>
      <c r="J54" s="48" t="n">
        <f aca="false">SUM(F54:I54)</f>
        <v>98813730.4637973</v>
      </c>
      <c r="K54" s="37" t="n">
        <f aca="false">($B$6*$E$6+$B$7*$E$7+$B$8*$E$8+$B$9*$E$9)/365*(A54-$A$13)</f>
        <v>492842.465753425</v>
      </c>
      <c r="L54" s="49" t="n">
        <f aca="false">'Futures Tracking'!C44</f>
        <v>110.8125</v>
      </c>
      <c r="M54" s="37" t="n">
        <f aca="false">'Futures Tracking'!F44</f>
        <v>0</v>
      </c>
      <c r="N54" s="37" t="n">
        <f aca="false">'Futures Tracking'!H44-'Futures Tracking'!$O$3</f>
        <v>2945755.7343533</v>
      </c>
      <c r="O54" s="50"/>
      <c r="P54" s="48" t="n">
        <f aca="false">IF($B54="","",J54+K54+N54-O54)</f>
        <v>102252328.663904</v>
      </c>
      <c r="Q54" s="48" t="n">
        <f aca="false">IF($B54="","",P54-$K$10)</f>
        <v>2252328.663904</v>
      </c>
    </row>
    <row r="55" customFormat="false" ht="13.5" hidden="false" customHeight="true" outlineLevel="0" collapsed="false">
      <c r="A55" s="28" t="n">
        <v>46119</v>
      </c>
      <c r="B55" s="49" t="n">
        <v>99.1261218766201</v>
      </c>
      <c r="C55" s="49" t="n">
        <v>99.2296385732966</v>
      </c>
      <c r="D55" s="49" t="n">
        <v>102.293995707331</v>
      </c>
      <c r="E55" s="49" t="n">
        <v>96.5556189449679</v>
      </c>
      <c r="F55" s="47" t="n">
        <f aca="false">IF(B55="","",$B$6*(B55/100))</f>
        <v>14868918.281493</v>
      </c>
      <c r="G55" s="47" t="n">
        <f aca="false">IF(C55="","",$B$7*(C55/100))</f>
        <v>16869038.5574604</v>
      </c>
      <c r="H55" s="47" t="n">
        <f aca="false">IF(D55="","",$B$8*(D55/100))</f>
        <v>25573498.9268328</v>
      </c>
      <c r="I55" s="47" t="n">
        <f aca="false">IF(E55="","",$B$9*(E55/100))</f>
        <v>41518916.1463362</v>
      </c>
      <c r="J55" s="48" t="n">
        <f aca="false">SUM(F55:I55)</f>
        <v>98830371.9121224</v>
      </c>
      <c r="K55" s="37" t="n">
        <f aca="false">($B$6*$E$6+$B$7*$E$7+$B$8*$E$8+$B$9*$E$9)/365*(A55-$A$13)</f>
        <v>504863.01369863</v>
      </c>
      <c r="L55" s="49" t="n">
        <f aca="false">'Futures Tracking'!C45</f>
        <v>110.859375</v>
      </c>
      <c r="M55" s="37" t="n">
        <f aca="false">'Futures Tracking'!F45</f>
        <v>0</v>
      </c>
      <c r="N55" s="37" t="n">
        <f aca="false">'Futures Tracking'!H45-'Futures Tracking'!$O$3</f>
        <v>2946296.24883746</v>
      </c>
      <c r="O55" s="50"/>
      <c r="P55" s="48" t="n">
        <f aca="false">IF($B55="","",J55+K55+N55-O55)</f>
        <v>102281531.174658</v>
      </c>
      <c r="Q55" s="48" t="n">
        <f aca="false">IF($B55="","",P55-$K$10)</f>
        <v>2281531.17465848</v>
      </c>
    </row>
    <row r="56" customFormat="false" ht="12" hidden="false" customHeight="true" outlineLevel="0" collapsed="false">
      <c r="P56" s="51" t="n">
        <f aca="false">J56+K56+N56-O56</f>
        <v>0</v>
      </c>
    </row>
    <row r="57" customFormat="false" ht="12" hidden="false" customHeight="true" outlineLevel="0" collapsed="false">
      <c r="P57" s="52"/>
    </row>
    <row r="58" customFormat="false" ht="12" hidden="false" customHeight="true" outlineLevel="0" collapsed="false">
      <c r="A58" s="10" t="s">
        <v>72</v>
      </c>
      <c r="B58" s="16"/>
      <c r="C58" s="16"/>
      <c r="D58" s="16"/>
      <c r="P58" s="52"/>
    </row>
    <row r="59" customFormat="false" ht="12" hidden="false" customHeight="true" outlineLevel="0" collapsed="false">
      <c r="A59" s="20" t="s">
        <v>23</v>
      </c>
      <c r="B59" s="53" t="n">
        <f aca="false">COUNT(Q13:Q55)</f>
        <v>31</v>
      </c>
      <c r="P59" s="52"/>
    </row>
    <row r="60" customFormat="false" ht="15.75" hidden="false" customHeight="true" outlineLevel="0" collapsed="false">
      <c r="A60" s="17" t="s">
        <v>73</v>
      </c>
      <c r="B60" s="54" t="n">
        <f aca="false">AVERAGE(Q13:Q55)</f>
        <v>1612394.32682539</v>
      </c>
    </row>
    <row r="61" customFormat="false" ht="15.75" hidden="false" customHeight="true" outlineLevel="0" collapsed="false">
      <c r="A61" s="20" t="s">
        <v>74</v>
      </c>
      <c r="B61" s="55" t="n">
        <f aca="false">STDEV(Q13:Q55)</f>
        <v>463570.378192985</v>
      </c>
    </row>
    <row r="62" customFormat="false" ht="15.75" hidden="false" customHeight="true" outlineLevel="0" collapsed="false">
      <c r="A62" s="17" t="s">
        <v>28</v>
      </c>
      <c r="B62" s="56" t="n">
        <f aca="false">STDEV(Q13:Q55)/$K$10</f>
        <v>0.00463570378192985</v>
      </c>
    </row>
    <row r="63" customFormat="false" ht="15.75" hidden="false" customHeight="true" outlineLevel="0" collapsed="false">
      <c r="A63" s="20" t="s">
        <v>75</v>
      </c>
      <c r="B63" s="55" t="n">
        <f aca="false">MAX(Q13:Q55)</f>
        <v>2284749.52967428</v>
      </c>
    </row>
    <row r="64" customFormat="false" ht="15.75" hidden="false" customHeight="true" outlineLevel="0" collapsed="false">
      <c r="A64" s="17" t="s">
        <v>76</v>
      </c>
      <c r="B64" s="54" t="n">
        <f aca="false">MIN(Q13:Q55)</f>
        <v>734491.536144629</v>
      </c>
    </row>
    <row r="65" customFormat="false" ht="15.75" hidden="false" customHeight="true" outlineLevel="0" collapsed="false">
      <c r="A65" s="20" t="s">
        <v>77</v>
      </c>
      <c r="B65" s="55" t="n">
        <f aca="false">MAX(Q13:Q55)-MIN(Q13:Q55)</f>
        <v>1550257.99352965</v>
      </c>
    </row>
    <row r="66" customFormat="false" ht="15.75" hidden="false" customHeight="true" outlineLevel="0" collapsed="false">
      <c r="A66" s="17" t="s">
        <v>78</v>
      </c>
      <c r="B66" s="57" t="n">
        <f aca="false">STDEV(Q13:Q55)/AVERAGE(Q13:Q55)</f>
        <v>0.287504347094609</v>
      </c>
    </row>
    <row r="68" customFormat="false" ht="15.75" hidden="false" customHeight="true" outlineLevel="0" collapsed="false">
      <c r="A68" s="58" t="s">
        <v>79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true" autoFill="0" autoPict="0" macro="mod_MainRun.ManualRun">
                <anchor moveWithCells="true" sizeWithCells="false">
                  <from>
                    <xdr:col>18</xdr:col>
                    <xdr:colOff>0</xdr:colOff>
                    <xdr:row>1</xdr:row>
                    <xdr:rowOff>0</xdr:rowOff>
                  </from>
                  <to>
                    <xdr:col>20</xdr:col>
                    <xdr:colOff>76320</xdr:colOff>
                    <xdr:row>3</xdr:row>
                    <xdr:rowOff>38160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Z4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2" topLeftCell="A3" activePane="bottomLeft" state="frozen"/>
      <selection pane="topLeft" activeCell="A1" activeCellId="0" sqref="A1"/>
      <selection pane="bottomLeft" activeCell="E16" activeCellId="0" sqref="E16"/>
    </sheetView>
  </sheetViews>
  <sheetFormatPr defaultColWidth="9.00390625" defaultRowHeight="12" zeroHeight="false" outlineLevelRow="0" outlineLevelCol="0"/>
  <cols>
    <col collapsed="false" customWidth="true" hidden="false" outlineLevel="0" max="1" min="1" style="1" width="11.18"/>
    <col collapsed="false" customWidth="true" hidden="false" outlineLevel="0" max="2" min="2" style="1" width="13"/>
    <col collapsed="false" customWidth="true" hidden="false" outlineLevel="0" max="3" min="3" style="1" width="12.09"/>
    <col collapsed="false" customWidth="true" hidden="false" outlineLevel="0" max="4" min="4" style="59" width="12.18"/>
    <col collapsed="false" customWidth="true" hidden="false" outlineLevel="0" max="5" min="5" style="1" width="18.36"/>
    <col collapsed="false" customWidth="true" hidden="false" outlineLevel="0" max="6" min="6" style="60" width="17.27"/>
    <col collapsed="false" customWidth="true" hidden="false" outlineLevel="0" max="7" min="7" style="60" width="16.09"/>
    <col collapsed="false" customWidth="true" hidden="false" outlineLevel="0" max="8" min="8" style="60" width="13.91"/>
    <col collapsed="false" customWidth="true" hidden="false" outlineLevel="0" max="9" min="9" style="60" width="16.82"/>
    <col collapsed="false" customWidth="true" hidden="false" outlineLevel="0" max="10" min="10" style="60" width="16.91"/>
    <col collapsed="false" customWidth="true" hidden="false" outlineLevel="0" max="11" min="11" style="1" width="15.91"/>
    <col collapsed="false" customWidth="true" hidden="false" outlineLevel="0" max="12" min="12" style="1" width="9.27"/>
    <col collapsed="false" customWidth="true" hidden="false" outlineLevel="0" max="13" min="13" style="1" width="3.45"/>
    <col collapsed="false" customWidth="true" hidden="false" outlineLevel="0" max="14" min="14" style="1" width="2.82"/>
    <col collapsed="false" customWidth="true" hidden="false" outlineLevel="0" max="15" min="15" style="1" width="17.18"/>
    <col collapsed="false" customWidth="true" hidden="false" outlineLevel="0" max="16" min="16" style="1" width="11.09"/>
  </cols>
  <sheetData>
    <row r="1" customFormat="false" ht="12.75" hidden="false" customHeight="true" outlineLevel="0" collapsed="false">
      <c r="B1" s="61" t="s">
        <v>80</v>
      </c>
      <c r="C1" s="61" t="s">
        <v>81</v>
      </c>
      <c r="E1" s="61" t="s">
        <v>82</v>
      </c>
      <c r="I1" s="62" t="s">
        <v>83</v>
      </c>
      <c r="K1" s="61" t="s">
        <v>84</v>
      </c>
      <c r="L1" s="61" t="s">
        <v>85</v>
      </c>
      <c r="O1" s="1" t="s">
        <v>86</v>
      </c>
    </row>
    <row r="2" customFormat="false" ht="15.75" hidden="false" customHeight="true" outlineLevel="0" collapsed="false">
      <c r="A2" s="44" t="s">
        <v>87</v>
      </c>
      <c r="B2" s="44" t="s">
        <v>88</v>
      </c>
      <c r="C2" s="44" t="s">
        <v>89</v>
      </c>
      <c r="D2" s="44" t="s">
        <v>90</v>
      </c>
      <c r="E2" s="44" t="s">
        <v>91</v>
      </c>
      <c r="F2" s="44" t="s">
        <v>92</v>
      </c>
      <c r="G2" s="44" t="s">
        <v>93</v>
      </c>
      <c r="H2" s="44" t="s">
        <v>94</v>
      </c>
      <c r="I2" s="44" t="s">
        <v>95</v>
      </c>
      <c r="J2" s="44" t="s">
        <v>96</v>
      </c>
      <c r="K2" s="44" t="s">
        <v>97</v>
      </c>
      <c r="L2" s="63" t="s">
        <v>98</v>
      </c>
      <c r="O2" s="1" t="s">
        <v>99</v>
      </c>
      <c r="T2" s="64"/>
      <c r="V2" s="64"/>
      <c r="X2" s="64"/>
      <c r="Z2" s="45"/>
    </row>
    <row r="3" customFormat="false" ht="13.5" hidden="false" customHeight="true" outlineLevel="0" collapsed="false">
      <c r="A3" s="28" t="n">
        <f aca="false">Portfolio!A13</f>
        <v>46077</v>
      </c>
      <c r="B3" s="65" t="s">
        <v>100</v>
      </c>
      <c r="C3" s="49" t="n">
        <v>113.296875</v>
      </c>
      <c r="D3" s="66" t="n">
        <f aca="false">VLOOKUP(LEFT(B3,2),$O$7:$P$10,2,FALSE())</f>
        <v>100000</v>
      </c>
      <c r="E3" s="67"/>
      <c r="F3" s="68" t="n">
        <f aca="false">IF(ROW()=3,0,(C3-C2)/100*E3*D3)</f>
        <v>0</v>
      </c>
      <c r="G3" s="68" t="n">
        <f aca="false">SUM($F$3:F3)</f>
        <v>0</v>
      </c>
      <c r="H3" s="68" t="n">
        <f aca="false">IF(ROW()=3,$O$3+$F$3,H2+F3+J3)</f>
        <v>1000000</v>
      </c>
      <c r="I3" s="69" t="n">
        <f aca="false">$O$5</f>
        <v>0.05</v>
      </c>
      <c r="J3" s="70" t="n">
        <v>0</v>
      </c>
      <c r="K3" s="71" t="s">
        <v>101</v>
      </c>
      <c r="L3" s="61" t="str">
        <f aca="false">LEFT(B3,2)</f>
        <v>TY</v>
      </c>
      <c r="O3" s="72" t="n">
        <v>1000000</v>
      </c>
      <c r="P3" s="61" t="s">
        <v>102</v>
      </c>
    </row>
    <row r="4" customFormat="false" ht="13.5" hidden="false" customHeight="true" outlineLevel="0" collapsed="false">
      <c r="A4" s="28" t="n">
        <f aca="false">Portfolio!A14</f>
        <v>46078</v>
      </c>
      <c r="B4" s="1" t="s">
        <v>100</v>
      </c>
      <c r="C4" s="49" t="n">
        <v>113.171875</v>
      </c>
      <c r="D4" s="66" t="n">
        <f aca="false">IF(B4="","",VLOOKUP(LEFT(B4,2),$O$7:$P$10,2,FALSE()))</f>
        <v>100000</v>
      </c>
      <c r="E4" s="67"/>
      <c r="F4" s="68" t="n">
        <f aca="false">IF(OR(C4="",C3="",E4=""),0,(C4-C3)/100*E4*D4)</f>
        <v>0</v>
      </c>
      <c r="G4" s="68" t="n">
        <f aca="false">SUM($F$3:F4)</f>
        <v>0</v>
      </c>
      <c r="H4" s="68" t="n">
        <f aca="false">H3+F4+J4</f>
        <v>1000136.98630137</v>
      </c>
      <c r="I4" s="69" t="n">
        <f aca="false">$O$5</f>
        <v>0.05</v>
      </c>
      <c r="J4" s="70" t="n">
        <f aca="false">IF(H3=0,0,H3*($O$5/365))</f>
        <v>136.986301369863</v>
      </c>
      <c r="K4" s="73"/>
      <c r="L4" s="61" t="str">
        <f aca="false">IF(B4="","",LEFT(B4,2))</f>
        <v>TY</v>
      </c>
      <c r="O4" s="1" t="s">
        <v>103</v>
      </c>
    </row>
    <row r="5" customFormat="false" ht="13.5" hidden="false" customHeight="true" outlineLevel="0" collapsed="false">
      <c r="A5" s="28" t="n">
        <f aca="false">Portfolio!A15</f>
        <v>46079</v>
      </c>
      <c r="B5" s="1" t="s">
        <v>100</v>
      </c>
      <c r="C5" s="49" t="n">
        <v>113.421875</v>
      </c>
      <c r="D5" s="66" t="n">
        <f aca="false">IF(B5="","",VLOOKUP(LEFT(B5,2),$O$7:$P$10,2,FALSE()))</f>
        <v>100000</v>
      </c>
      <c r="E5" s="67"/>
      <c r="F5" s="68" t="n">
        <f aca="false">IF(OR(C5="",C4="",E5=""),0,(C5-C4)/100*E5*D5)</f>
        <v>0</v>
      </c>
      <c r="G5" s="68" t="n">
        <f aca="false">SUM($F$3:F5)</f>
        <v>0</v>
      </c>
      <c r="H5" s="68" t="n">
        <f aca="false">H4+F5+J5</f>
        <v>1000273.99136799</v>
      </c>
      <c r="I5" s="69" t="n">
        <f aca="false">$O$5</f>
        <v>0.05</v>
      </c>
      <c r="J5" s="70" t="n">
        <f aca="false">IF(H4=0,0,H4*($O$5/365))</f>
        <v>137.005066616626</v>
      </c>
      <c r="L5" s="1" t="str">
        <f aca="false">IF(B5="","",LEFT(B5,2))</f>
        <v>TY</v>
      </c>
      <c r="O5" s="74" t="n">
        <v>0.05</v>
      </c>
      <c r="P5" s="61" t="s">
        <v>104</v>
      </c>
    </row>
    <row r="6" customFormat="false" ht="13.5" hidden="false" customHeight="true" outlineLevel="0" collapsed="false">
      <c r="A6" s="28" t="n">
        <f aca="false">Portfolio!A16</f>
        <v>46080</v>
      </c>
      <c r="B6" s="1" t="s">
        <v>100</v>
      </c>
      <c r="C6" s="49" t="n">
        <v>113.640625</v>
      </c>
      <c r="D6" s="66" t="n">
        <f aca="false">IF(B6="","",VLOOKUP(LEFT(B6,2),$O$7:$P$10,2,FALSE()))</f>
        <v>100000</v>
      </c>
      <c r="E6" s="75" t="n">
        <v>-1258</v>
      </c>
      <c r="F6" s="68" t="n">
        <f aca="false">IF(OR(C6="",C5="",E6=""),0,(C6-C5)/100*E6*D6)</f>
        <v>-275187.5</v>
      </c>
      <c r="G6" s="68" t="n">
        <f aca="false">SUM($F$3:F6)</f>
        <v>-275187.5</v>
      </c>
      <c r="H6" s="68" t="n">
        <f aca="false">H5+F6+J6</f>
        <v>725223.51520242</v>
      </c>
      <c r="I6" s="69" t="n">
        <f aca="false">$O$5</f>
        <v>0.05</v>
      </c>
      <c r="J6" s="70" t="n">
        <f aca="false">IF(H5=0,0,H5*($O$5/365))</f>
        <v>137.023834433971</v>
      </c>
      <c r="L6" s="1" t="str">
        <f aca="false">IF(B6="","",LEFT(B6,2))</f>
        <v>TY</v>
      </c>
      <c r="O6" s="76" t="s">
        <v>105</v>
      </c>
      <c r="P6" s="76"/>
    </row>
    <row r="7" customFormat="false" ht="13.5" hidden="false" customHeight="true" outlineLevel="0" collapsed="false">
      <c r="A7" s="28" t="n">
        <f aca="false">Portfolio!A17</f>
        <v>46081</v>
      </c>
      <c r="C7" s="49"/>
      <c r="D7" s="66" t="str">
        <f aca="false">IF(B7="","",VLOOKUP(LEFT(B7,2),$O$7:$P$10,2,FALSE()))</f>
        <v/>
      </c>
      <c r="E7" s="67"/>
      <c r="F7" s="68" t="n">
        <f aca="false">IF(OR(C7="",C6="",E7=""),0,(C7-C6)/100*E7*D7)</f>
        <v>0</v>
      </c>
      <c r="G7" s="68" t="n">
        <f aca="false">SUM($F$3:F7)</f>
        <v>-275187.5</v>
      </c>
      <c r="H7" s="68" t="n">
        <f aca="false">H6+F7+J7</f>
        <v>725322.860889435</v>
      </c>
      <c r="I7" s="69" t="n">
        <f aca="false">$O$5</f>
        <v>0.05</v>
      </c>
      <c r="J7" s="70" t="n">
        <f aca="false">IF(H6=0,0,H6*($O$5/365))</f>
        <v>99.3456870140302</v>
      </c>
      <c r="L7" s="1" t="str">
        <f aca="false">IF(B7="","",LEFT(B7,2))</f>
        <v/>
      </c>
      <c r="O7" s="76" t="s">
        <v>106</v>
      </c>
      <c r="P7" s="77" t="n">
        <v>200000</v>
      </c>
    </row>
    <row r="8" customFormat="false" ht="13.5" hidden="false" customHeight="true" outlineLevel="0" collapsed="false">
      <c r="A8" s="28" t="n">
        <f aca="false">Portfolio!A18</f>
        <v>46082</v>
      </c>
      <c r="C8" s="49"/>
      <c r="D8" s="66" t="str">
        <f aca="false">IF(B8="","",VLOOKUP(LEFT(B8,2),$O$7:$P$10,2,FALSE()))</f>
        <v/>
      </c>
      <c r="E8" s="67"/>
      <c r="F8" s="68" t="n">
        <f aca="false">IF(OR(C8="",C7="",E8=""),0,(C8-C7)/100*E8*D8)</f>
        <v>0</v>
      </c>
      <c r="G8" s="68" t="n">
        <f aca="false">SUM($F$3:F8)</f>
        <v>-275187.5</v>
      </c>
      <c r="H8" s="68" t="n">
        <f aca="false">H7+F8+J8</f>
        <v>725422.220185447</v>
      </c>
      <c r="I8" s="69" t="n">
        <f aca="false">$O$5</f>
        <v>0.05</v>
      </c>
      <c r="J8" s="70" t="n">
        <f aca="false">IF(H7=0,0,H7*($O$5/365))</f>
        <v>99.3592960122513</v>
      </c>
      <c r="L8" s="1" t="str">
        <f aca="false">IF(B8="","",LEFT(B8,2))</f>
        <v/>
      </c>
      <c r="O8" s="76" t="s">
        <v>107</v>
      </c>
      <c r="P8" s="77" t="n">
        <v>100000</v>
      </c>
    </row>
    <row r="9" customFormat="false" ht="13.5" hidden="false" customHeight="true" outlineLevel="0" collapsed="false">
      <c r="A9" s="28" t="n">
        <f aca="false">Portfolio!A19</f>
        <v>46083</v>
      </c>
      <c r="B9" s="1" t="s">
        <v>100</v>
      </c>
      <c r="C9" s="49" t="n">
        <v>113.34375</v>
      </c>
      <c r="D9" s="66" t="n">
        <f aca="false">IF(B9="","",VLOOKUP(LEFT(B9,2),$O$7:$P$10,2,FALSE()))</f>
        <v>100000</v>
      </c>
      <c r="E9" s="75" t="n">
        <v>-1261</v>
      </c>
      <c r="F9" s="68" t="n">
        <f aca="false">IF(OR(C9="",C8="",E9=""),0,(C9-C8)/100*E9*D9)</f>
        <v>0</v>
      </c>
      <c r="G9" s="68" t="n">
        <f aca="false">SUM($F$3:F9)</f>
        <v>-275187.5</v>
      </c>
      <c r="H9" s="68" t="n">
        <f aca="false">H8+F9+J9</f>
        <v>725521.593092321</v>
      </c>
      <c r="I9" s="69" t="n">
        <f aca="false">$O$5</f>
        <v>0.05</v>
      </c>
      <c r="J9" s="70" t="n">
        <f aca="false">IF(H8=0,0,H8*($O$5/365))</f>
        <v>99.3729068747187</v>
      </c>
      <c r="L9" s="1" t="str">
        <f aca="false">IF(B9="","",LEFT(B9,2))</f>
        <v>TY</v>
      </c>
      <c r="O9" s="76" t="s">
        <v>108</v>
      </c>
      <c r="P9" s="77" t="n">
        <v>100000</v>
      </c>
    </row>
    <row r="10" customFormat="false" ht="13.5" hidden="false" customHeight="true" outlineLevel="0" collapsed="false">
      <c r="A10" s="28" t="n">
        <f aca="false">Portfolio!A20</f>
        <v>46084</v>
      </c>
      <c r="B10" s="1" t="s">
        <v>100</v>
      </c>
      <c r="C10" s="49" t="n">
        <v>113.015625</v>
      </c>
      <c r="D10" s="66" t="n">
        <f aca="false">IF(B10="","",VLOOKUP(LEFT(B10,2),$O$7:$P$10,2,FALSE()))</f>
        <v>100000</v>
      </c>
      <c r="E10" s="75" t="n">
        <v>-1261</v>
      </c>
      <c r="F10" s="68" t="n">
        <f aca="false">IF(OR(C10="",C9="",E10=""),0,(C10-C9)/100*E10*D10)</f>
        <v>413765.625</v>
      </c>
      <c r="G10" s="68" t="n">
        <f aca="false">SUM($F$3:F10)</f>
        <v>138578.125</v>
      </c>
      <c r="H10" s="68" t="n">
        <f aca="false">H9+F10+J10</f>
        <v>1139386.60461192</v>
      </c>
      <c r="I10" s="69" t="n">
        <f aca="false">$O$5</f>
        <v>0.05</v>
      </c>
      <c r="J10" s="70" t="n">
        <f aca="false">IF(H9=0,0,H9*($O$5/365))</f>
        <v>99.3865196016879</v>
      </c>
      <c r="L10" s="1" t="str">
        <f aca="false">IF(B10="","",LEFT(B10,2))</f>
        <v>TY</v>
      </c>
      <c r="O10" s="76" t="s">
        <v>109</v>
      </c>
      <c r="P10" s="77" t="n">
        <v>100000</v>
      </c>
    </row>
    <row r="11" customFormat="false" ht="13.5" hidden="false" customHeight="true" outlineLevel="0" collapsed="false">
      <c r="A11" s="28" t="n">
        <f aca="false">Portfolio!A21</f>
        <v>46085</v>
      </c>
      <c r="B11" s="1" t="s">
        <v>100</v>
      </c>
      <c r="C11" s="49" t="n">
        <v>112.78125</v>
      </c>
      <c r="D11" s="66" t="n">
        <f aca="false">IF(B11="","",VLOOKUP(LEFT(B11,2),$O$7:$P$10,2,FALSE()))</f>
        <v>100000</v>
      </c>
      <c r="E11" s="75" t="n">
        <v>-1267</v>
      </c>
      <c r="F11" s="68" t="n">
        <f aca="false">IF(OR(C11="",C10="",E11=""),0,(C11-C10)/100*E11*D11)</f>
        <v>296953.125</v>
      </c>
      <c r="G11" s="68" t="n">
        <f aca="false">SUM($F$3:F11)</f>
        <v>435531.25</v>
      </c>
      <c r="H11" s="68" t="n">
        <f aca="false">H10+F11+J11</f>
        <v>1436495.80996872</v>
      </c>
      <c r="I11" s="69" t="n">
        <f aca="false">$O$5</f>
        <v>0.05</v>
      </c>
      <c r="J11" s="70" t="n">
        <f aca="false">IF(H10=0,0,H10*($O$5/365))</f>
        <v>156.080356796154</v>
      </c>
      <c r="L11" s="1" t="str">
        <f aca="false">IF(B11="","",LEFT(B11,2))</f>
        <v>TY</v>
      </c>
    </row>
    <row r="12" customFormat="false" ht="13.5" hidden="false" customHeight="true" outlineLevel="0" collapsed="false">
      <c r="A12" s="28" t="n">
        <f aca="false">Portfolio!A22</f>
        <v>46086</v>
      </c>
      <c r="B12" s="1" t="s">
        <v>100</v>
      </c>
      <c r="C12" s="49" t="n">
        <v>112.3125</v>
      </c>
      <c r="D12" s="66" t="n">
        <f aca="false">IF(B12="","",VLOOKUP(LEFT(B12,2),$O$7:$P$10,2,FALSE()))</f>
        <v>100000</v>
      </c>
      <c r="E12" s="75" t="n">
        <v>-1267</v>
      </c>
      <c r="F12" s="68" t="n">
        <f aca="false">IF(OR(C12="",C11="",E12=""),0,(C12-C11)/100*E12*D12)</f>
        <v>593906.25</v>
      </c>
      <c r="G12" s="68" t="n">
        <f aca="false">SUM($F$3:F12)</f>
        <v>1029437.5</v>
      </c>
      <c r="H12" s="68" t="n">
        <f aca="false">H11+F12+J12</f>
        <v>2030598.84021666</v>
      </c>
      <c r="I12" s="69" t="n">
        <f aca="false">$O$5</f>
        <v>0.05</v>
      </c>
      <c r="J12" s="70" t="n">
        <f aca="false">IF(H11=0,0,H11*($O$5/365))</f>
        <v>196.78024794092</v>
      </c>
      <c r="L12" s="1" t="str">
        <f aca="false">IF(B12="","",LEFT(B12,2))</f>
        <v>TY</v>
      </c>
    </row>
    <row r="13" customFormat="false" ht="13.5" hidden="false" customHeight="true" outlineLevel="0" collapsed="false">
      <c r="A13" s="28" t="n">
        <f aca="false">Portfolio!A23</f>
        <v>46087</v>
      </c>
      <c r="B13" s="1" t="s">
        <v>100</v>
      </c>
      <c r="C13" s="49" t="n">
        <v>112.4375</v>
      </c>
      <c r="D13" s="66" t="n">
        <f aca="false">IF(B13="","",VLOOKUP(LEFT(B13,2),$O$7:$P$10,2,FALSE()))</f>
        <v>100000</v>
      </c>
      <c r="E13" s="75" t="n">
        <v>-1267</v>
      </c>
      <c r="F13" s="68" t="n">
        <f aca="false">IF(OR(C13="",C12="",E13=""),0,(C13-C12)/100*E13*D13)</f>
        <v>-158375</v>
      </c>
      <c r="G13" s="68" t="n">
        <f aca="false">SUM($F$3:F13)</f>
        <v>871062.5</v>
      </c>
      <c r="H13" s="68" t="n">
        <f aca="false">H12+F13+J13</f>
        <v>1872502.00444135</v>
      </c>
      <c r="I13" s="69" t="n">
        <f aca="false">$O$5</f>
        <v>0.05</v>
      </c>
      <c r="J13" s="70" t="n">
        <f aca="false">IF(H12=0,0,H12*($O$5/365))</f>
        <v>278.164224687214</v>
      </c>
      <c r="L13" s="1" t="str">
        <f aca="false">IF(B13="","",LEFT(B13,2))</f>
        <v>TY</v>
      </c>
    </row>
    <row r="14" customFormat="false" ht="13.5" hidden="false" customHeight="true" outlineLevel="0" collapsed="false">
      <c r="A14" s="28" t="n">
        <f aca="false">Portfolio!A24</f>
        <v>46088</v>
      </c>
      <c r="C14" s="49"/>
      <c r="D14" s="66" t="str">
        <f aca="false">IF(B14="","",VLOOKUP(LEFT(B14,2),$O$7:$P$10,2,FALSE()))</f>
        <v/>
      </c>
      <c r="E14" s="67"/>
      <c r="F14" s="68" t="n">
        <f aca="false">IF(OR(C14="",C13="",E14=""),0,(C14-C13)/100*E14*D14)</f>
        <v>0</v>
      </c>
      <c r="G14" s="68" t="n">
        <f aca="false">SUM($F$3:F14)</f>
        <v>871062.5</v>
      </c>
      <c r="H14" s="68" t="n">
        <f aca="false">H13+F14+J14</f>
        <v>1872758.51156524</v>
      </c>
      <c r="I14" s="69" t="n">
        <f aca="false">$O$5</f>
        <v>0.05</v>
      </c>
      <c r="J14" s="70" t="n">
        <f aca="false">IF(H13=0,0,H13*($O$5/365))</f>
        <v>256.507123896075</v>
      </c>
      <c r="L14" s="1" t="str">
        <f aca="false">IF(B14="","",LEFT(B14,2))</f>
        <v/>
      </c>
    </row>
    <row r="15" customFormat="false" ht="13.5" hidden="false" customHeight="true" outlineLevel="0" collapsed="false">
      <c r="A15" s="28" t="n">
        <f aca="false">Portfolio!A25</f>
        <v>46089</v>
      </c>
      <c r="C15" s="49"/>
      <c r="D15" s="66" t="str">
        <f aca="false">IF(B15="","",VLOOKUP(LEFT(B15,2),$O$7:$P$10,2,FALSE()))</f>
        <v/>
      </c>
      <c r="E15" s="67"/>
      <c r="F15" s="68" t="n">
        <f aca="false">IF(OR(C15="",C14="",E15=""),0,(C15-C14)/100*E15*D15)</f>
        <v>0</v>
      </c>
      <c r="G15" s="68" t="n">
        <f aca="false">SUM($F$3:F15)</f>
        <v>871062.5</v>
      </c>
      <c r="H15" s="68" t="n">
        <f aca="false">H14+F15+J15</f>
        <v>1873015.0538271</v>
      </c>
      <c r="I15" s="69" t="n">
        <f aca="false">$O$5</f>
        <v>0.05</v>
      </c>
      <c r="J15" s="70" t="n">
        <f aca="false">IF(H14=0,0,H14*($O$5/365))</f>
        <v>256.542261858253</v>
      </c>
      <c r="L15" s="1" t="str">
        <f aca="false">IF(B15="","",LEFT(B15,2))</f>
        <v/>
      </c>
    </row>
    <row r="16" customFormat="false" ht="13.5" hidden="false" customHeight="true" outlineLevel="0" collapsed="false">
      <c r="A16" s="28" t="n">
        <f aca="false">Portfolio!A26</f>
        <v>46090</v>
      </c>
      <c r="B16" s="1" t="s">
        <v>100</v>
      </c>
      <c r="C16" s="49" t="n">
        <v>112.359375</v>
      </c>
      <c r="D16" s="66" t="n">
        <f aca="false">IF(B16="","",VLOOKUP(LEFT(B16,2),$O$7:$P$10,2,FALSE()))</f>
        <v>100000</v>
      </c>
      <c r="E16" s="67"/>
      <c r="F16" s="68" t="n">
        <f aca="false">IF(OR(C16="",C15="",E16=""),0,(C16-C15)/100*E16*D16)</f>
        <v>0</v>
      </c>
      <c r="G16" s="68" t="n">
        <f aca="false">SUM($F$3:F16)</f>
        <v>871062.5</v>
      </c>
      <c r="H16" s="68" t="n">
        <f aca="false">H15+F16+J16</f>
        <v>1873271.63123174</v>
      </c>
      <c r="I16" s="69" t="n">
        <f aca="false">$O$5</f>
        <v>0.05</v>
      </c>
      <c r="J16" s="70" t="n">
        <f aca="false">IF(H15=0,0,H15*($O$5/365))</f>
        <v>256.57740463385</v>
      </c>
      <c r="L16" s="1" t="str">
        <f aca="false">IF(B16="","",LEFT(B16,2))</f>
        <v>TY</v>
      </c>
    </row>
    <row r="17" customFormat="false" ht="13.5" hidden="false" customHeight="true" outlineLevel="0" collapsed="false">
      <c r="A17" s="28" t="n">
        <f aca="false">Portfolio!A27</f>
        <v>46091</v>
      </c>
      <c r="B17" s="1" t="s">
        <v>100</v>
      </c>
      <c r="C17" s="49" t="n">
        <v>112.453125</v>
      </c>
      <c r="D17" s="66" t="n">
        <f aca="false">IF(B17="","",VLOOKUP(LEFT(B17,2),$O$7:$P$10,2,FALSE()))</f>
        <v>100000</v>
      </c>
      <c r="E17" s="67"/>
      <c r="F17" s="68" t="n">
        <f aca="false">IF(OR(C17="",C16="",E17=""),0,(C17-C16)/100*E17*D17)</f>
        <v>0</v>
      </c>
      <c r="G17" s="68" t="n">
        <f aca="false">SUM($F$3:F17)</f>
        <v>871062.5</v>
      </c>
      <c r="H17" s="68" t="n">
        <f aca="false">H16+F17+J17</f>
        <v>1873528.24378396</v>
      </c>
      <c r="I17" s="69" t="n">
        <f aca="false">$O$5</f>
        <v>0.05</v>
      </c>
      <c r="J17" s="70" t="n">
        <f aca="false">IF(H16=0,0,H16*($O$5/365))</f>
        <v>256.612552223526</v>
      </c>
      <c r="L17" s="1" t="str">
        <f aca="false">IF(B17="","",LEFT(B17,2))</f>
        <v>TY</v>
      </c>
    </row>
    <row r="18" customFormat="false" ht="13.5" hidden="false" customHeight="true" outlineLevel="0" collapsed="false">
      <c r="A18" s="28" t="n">
        <f aca="false">Portfolio!A28</f>
        <v>46092</v>
      </c>
      <c r="B18" s="1" t="s">
        <v>100</v>
      </c>
      <c r="C18" s="49" t="n">
        <v>112.0625</v>
      </c>
      <c r="D18" s="66" t="n">
        <f aca="false">IF(B18="","",VLOOKUP(LEFT(B18,2),$O$7:$P$10,2,FALSE()))</f>
        <v>100000</v>
      </c>
      <c r="E18" s="75" t="n">
        <v>-1275</v>
      </c>
      <c r="F18" s="68" t="n">
        <f aca="false">IF(OR(C18="",C17="",E18=""),0,(C18-C17)/100*E18*D18)</f>
        <v>498046.875</v>
      </c>
      <c r="G18" s="68" t="n">
        <f aca="false">SUM($F$3:F18)</f>
        <v>1369109.375</v>
      </c>
      <c r="H18" s="68" t="n">
        <f aca="false">H17+F18+J18</f>
        <v>2371831.76648859</v>
      </c>
      <c r="I18" s="69" t="n">
        <f aca="false">$O$5</f>
        <v>0.05</v>
      </c>
      <c r="J18" s="70" t="n">
        <f aca="false">IF(H17=0,0,H17*($O$5/365))</f>
        <v>256.64770462794</v>
      </c>
      <c r="L18" s="1" t="str">
        <f aca="false">IF(B18="","",LEFT(B18,2))</f>
        <v>TY</v>
      </c>
    </row>
    <row r="19" customFormat="false" ht="13.5" hidden="false" customHeight="true" outlineLevel="0" collapsed="false">
      <c r="A19" s="28" t="n">
        <f aca="false">Portfolio!A29</f>
        <v>46093</v>
      </c>
      <c r="B19" s="1" t="s">
        <v>100</v>
      </c>
      <c r="C19" s="49" t="n">
        <v>111.40625</v>
      </c>
      <c r="D19" s="66" t="n">
        <f aca="false">IF(B19="","",VLOOKUP(LEFT(B19,2),$O$7:$P$10,2,FALSE()))</f>
        <v>100000</v>
      </c>
      <c r="E19" s="75" t="n">
        <v>-1275</v>
      </c>
      <c r="F19" s="68" t="n">
        <f aca="false">IF(OR(C19="",C18="",E19=""),0,(C19-C18)/100*E19*D19)</f>
        <v>836718.75</v>
      </c>
      <c r="G19" s="68" t="n">
        <f aca="false">SUM($F$3:F19)</f>
        <v>2205828.125</v>
      </c>
      <c r="H19" s="68" t="n">
        <f aca="false">H18+F19+J19</f>
        <v>3208875.42494975</v>
      </c>
      <c r="I19" s="69" t="n">
        <f aca="false">$O$5</f>
        <v>0.05</v>
      </c>
      <c r="J19" s="70" t="n">
        <f aca="false">IF(H18=0,0,H18*($O$5/365))</f>
        <v>324.90846116282</v>
      </c>
      <c r="L19" s="1" t="str">
        <f aca="false">IF(B19="","",LEFT(B19,2))</f>
        <v>TY</v>
      </c>
    </row>
    <row r="20" customFormat="false" ht="13.5" hidden="false" customHeight="true" outlineLevel="0" collapsed="false">
      <c r="A20" s="28" t="n">
        <f aca="false">Portfolio!A30</f>
        <v>46094</v>
      </c>
      <c r="B20" s="1" t="s">
        <v>100</v>
      </c>
      <c r="C20" s="49" t="n">
        <v>111.40625</v>
      </c>
      <c r="D20" s="66" t="n">
        <f aca="false">IF(B20="","",VLOOKUP(LEFT(B20,2),$O$7:$P$10,2,FALSE()))</f>
        <v>100000</v>
      </c>
      <c r="E20" s="75" t="n">
        <v>-1275</v>
      </c>
      <c r="F20" s="68" t="n">
        <f aca="false">IF(OR(C20="",C19="",E20=""),0,(C20-C19)/100*E20*D20)</f>
        <v>-0</v>
      </c>
      <c r="G20" s="68" t="n">
        <f aca="false">SUM($F$3:F20)</f>
        <v>2205828.125</v>
      </c>
      <c r="H20" s="68" t="n">
        <f aca="false">H19+F20+J20</f>
        <v>3209314.99692577</v>
      </c>
      <c r="I20" s="69" t="n">
        <f aca="false">$O$5</f>
        <v>0.05</v>
      </c>
      <c r="J20" s="70" t="n">
        <f aca="false">IF(H19=0,0,H19*($O$5/365))</f>
        <v>439.571976020514</v>
      </c>
      <c r="L20" s="1" t="str">
        <f aca="false">IF(B20="","",LEFT(B20,2))</f>
        <v>TY</v>
      </c>
    </row>
    <row r="21" customFormat="false" ht="13.5" hidden="false" customHeight="true" outlineLevel="0" collapsed="false">
      <c r="A21" s="28" t="n">
        <f aca="false">Portfolio!A31</f>
        <v>46095</v>
      </c>
      <c r="C21" s="49"/>
      <c r="D21" s="66" t="str">
        <f aca="false">IF(B21="","",VLOOKUP(LEFT(B21,2),$O$7:$P$10,2,FALSE()))</f>
        <v/>
      </c>
      <c r="E21" s="67"/>
      <c r="F21" s="68" t="n">
        <f aca="false">IF(OR(C21="",C20="",E21=""),0,(C21-C20)/100*E21*D21)</f>
        <v>0</v>
      </c>
      <c r="G21" s="68" t="n">
        <f aca="false">SUM($F$3:F21)</f>
        <v>2205828.125</v>
      </c>
      <c r="H21" s="68" t="n">
        <f aca="false">H20+F21+J21</f>
        <v>3209754.62911713</v>
      </c>
      <c r="I21" s="69" t="n">
        <f aca="false">$O$5</f>
        <v>0.05</v>
      </c>
      <c r="J21" s="70" t="n">
        <f aca="false">IF(H20=0,0,H20*($O$5/365))</f>
        <v>439.632191359695</v>
      </c>
      <c r="L21" s="1" t="str">
        <f aca="false">IF(B21="","",LEFT(B21,2))</f>
        <v/>
      </c>
    </row>
    <row r="22" customFormat="false" ht="13.5" hidden="false" customHeight="true" outlineLevel="0" collapsed="false">
      <c r="A22" s="28" t="n">
        <f aca="false">Portfolio!A32</f>
        <v>46096</v>
      </c>
      <c r="C22" s="49"/>
      <c r="D22" s="66" t="str">
        <f aca="false">IF(B22="","",VLOOKUP(LEFT(B22,2),$O$7:$P$10,2,FALSE()))</f>
        <v/>
      </c>
      <c r="E22" s="67"/>
      <c r="F22" s="68" t="n">
        <f aca="false">IF(OR(C22="",C21="",E22=""),0,(C22-C21)/100*E22*D22)</f>
        <v>0</v>
      </c>
      <c r="G22" s="68" t="n">
        <f aca="false">SUM($F$3:F22)</f>
        <v>2205828.125</v>
      </c>
      <c r="H22" s="68" t="n">
        <f aca="false">H21+F22+J22</f>
        <v>3210194.32153208</v>
      </c>
      <c r="I22" s="69" t="n">
        <f aca="false">$O$5</f>
        <v>0.05</v>
      </c>
      <c r="J22" s="70" t="n">
        <f aca="false">IF(H21=0,0,H21*($O$5/365))</f>
        <v>439.692414947552</v>
      </c>
      <c r="L22" s="1" t="str">
        <f aca="false">IF(B22="","",LEFT(B22,2))</f>
        <v/>
      </c>
    </row>
    <row r="23" customFormat="false" ht="13.5" hidden="false" customHeight="true" outlineLevel="0" collapsed="false">
      <c r="A23" s="28" t="n">
        <f aca="false">Portfolio!A33</f>
        <v>46097</v>
      </c>
      <c r="B23" s="1" t="s">
        <v>100</v>
      </c>
      <c r="C23" s="49" t="n">
        <v>111.890625</v>
      </c>
      <c r="D23" s="66" t="n">
        <f aca="false">IF(B23="","",VLOOKUP(LEFT(B23,2),$O$7:$P$10,2,FALSE()))</f>
        <v>100000</v>
      </c>
      <c r="E23" s="67"/>
      <c r="F23" s="68" t="n">
        <f aca="false">IF(OR(C23="",C22="",E23=""),0,(C23-C22)/100*E23*D23)</f>
        <v>0</v>
      </c>
      <c r="G23" s="68" t="n">
        <f aca="false">SUM($F$3:F23)</f>
        <v>2205828.125</v>
      </c>
      <c r="H23" s="68" t="n">
        <f aca="false">H22+F23+J23</f>
        <v>3210634.07417886</v>
      </c>
      <c r="I23" s="69" t="n">
        <f aca="false">$O$5</f>
        <v>0.05</v>
      </c>
      <c r="J23" s="70" t="n">
        <f aca="false">IF(H22=0,0,H22*($O$5/365))</f>
        <v>439.752646785216</v>
      </c>
      <c r="L23" s="1" t="str">
        <f aca="false">IF(B23="","",LEFT(B23,2))</f>
        <v>TY</v>
      </c>
    </row>
    <row r="24" customFormat="false" ht="13.5" hidden="false" customHeight="true" outlineLevel="0" collapsed="false">
      <c r="A24" s="28" t="n">
        <f aca="false">Portfolio!A34</f>
        <v>46098</v>
      </c>
      <c r="B24" s="1" t="s">
        <v>100</v>
      </c>
      <c r="C24" s="49" t="n">
        <v>112</v>
      </c>
      <c r="D24" s="66" t="n">
        <f aca="false">IF(B24="","",VLOOKUP(LEFT(B24,2),$O$7:$P$10,2,FALSE()))</f>
        <v>100000</v>
      </c>
      <c r="E24" s="67"/>
      <c r="F24" s="68" t="n">
        <f aca="false">IF(OR(C24="",C23="",E24=""),0,(C24-C23)/100*E24*D24)</f>
        <v>0</v>
      </c>
      <c r="G24" s="68" t="n">
        <f aca="false">SUM($F$3:F24)</f>
        <v>2205828.125</v>
      </c>
      <c r="H24" s="68" t="n">
        <f aca="false">H23+F24+J24</f>
        <v>3211073.88706574</v>
      </c>
      <c r="I24" s="69" t="n">
        <f aca="false">$O$5</f>
        <v>0.05</v>
      </c>
      <c r="J24" s="70" t="n">
        <f aca="false">IF(H23=0,0,H23*($O$5/365))</f>
        <v>439.812886873817</v>
      </c>
      <c r="L24" s="1" t="str">
        <f aca="false">IF(B24="","",LEFT(B24,2))</f>
        <v>TY</v>
      </c>
    </row>
    <row r="25" customFormat="false" ht="13.5" hidden="false" customHeight="true" outlineLevel="0" collapsed="false">
      <c r="A25" s="28" t="n">
        <f aca="false">Portfolio!A35</f>
        <v>46099</v>
      </c>
      <c r="B25" s="1" t="s">
        <v>100</v>
      </c>
      <c r="C25" s="49" t="n">
        <v>111.546875</v>
      </c>
      <c r="D25" s="66" t="n">
        <f aca="false">IF(B25="","",VLOOKUP(LEFT(B25,2),$O$7:$P$10,2,FALSE()))</f>
        <v>100000</v>
      </c>
      <c r="E25" s="67"/>
      <c r="F25" s="68" t="n">
        <f aca="false">IF(OR(C25="",C24="",E25=""),0,(C25-C24)/100*E25*D25)</f>
        <v>0</v>
      </c>
      <c r="G25" s="68" t="n">
        <f aca="false">SUM($F$3:F25)</f>
        <v>2205828.125</v>
      </c>
      <c r="H25" s="68" t="n">
        <f aca="false">H24+F25+J25</f>
        <v>3211513.76020095</v>
      </c>
      <c r="I25" s="69" t="n">
        <f aca="false">$O$5</f>
        <v>0.05</v>
      </c>
      <c r="J25" s="70" t="n">
        <f aca="false">IF(H24=0,0,H24*($O$5/365))</f>
        <v>439.873135214485</v>
      </c>
      <c r="L25" s="1" t="str">
        <f aca="false">IF(B25="","",LEFT(B25,2))</f>
        <v>TY</v>
      </c>
    </row>
    <row r="26" customFormat="false" ht="13.5" hidden="false" customHeight="true" outlineLevel="0" collapsed="false">
      <c r="A26" s="28" t="n">
        <f aca="false">Portfolio!A36</f>
        <v>46100</v>
      </c>
      <c r="B26" s="1" t="s">
        <v>100</v>
      </c>
      <c r="C26" s="49" t="n">
        <v>111.21875</v>
      </c>
      <c r="D26" s="66" t="n">
        <f aca="false">IF(B26="","",VLOOKUP(LEFT(B26,2),$O$7:$P$10,2,FALSE()))</f>
        <v>100000</v>
      </c>
      <c r="E26" s="67"/>
      <c r="F26" s="68" t="n">
        <f aca="false">IF(OR(C26="",C25="",E26=""),0,(C26-C25)/100*E26*D26)</f>
        <v>0</v>
      </c>
      <c r="G26" s="68" t="n">
        <f aca="false">SUM($F$3:F26)</f>
        <v>2205828.125</v>
      </c>
      <c r="H26" s="68" t="n">
        <f aca="false">H25+F26+J26</f>
        <v>3211953.69359276</v>
      </c>
      <c r="I26" s="69" t="n">
        <f aca="false">$O$5</f>
        <v>0.05</v>
      </c>
      <c r="J26" s="70" t="n">
        <f aca="false">IF(H25=0,0,H25*($O$5/365))</f>
        <v>439.93339180835</v>
      </c>
      <c r="L26" s="1" t="str">
        <f aca="false">IF(B26="","",LEFT(B26,2))</f>
        <v>TY</v>
      </c>
    </row>
    <row r="27" customFormat="false" ht="13.5" hidden="false" customHeight="true" outlineLevel="0" collapsed="false">
      <c r="A27" s="28" t="n">
        <f aca="false">Portfolio!A37</f>
        <v>46101</v>
      </c>
      <c r="B27" s="1" t="s">
        <v>100</v>
      </c>
      <c r="C27" s="49" t="n">
        <v>110.5</v>
      </c>
      <c r="D27" s="66" t="n">
        <f aca="false">IF(B27="","",VLOOKUP(LEFT(B27,2),$O$7:$P$10,2,FALSE()))</f>
        <v>100000</v>
      </c>
      <c r="E27" s="67"/>
      <c r="F27" s="68" t="n">
        <f aca="false">IF(OR(C27="",C26="",E27=""),0,(C27-C26)/100*E27*D27)</f>
        <v>0</v>
      </c>
      <c r="G27" s="68" t="n">
        <f aca="false">SUM($F$3:F27)</f>
        <v>2205828.125</v>
      </c>
      <c r="H27" s="68" t="n">
        <f aca="false">H26+F27+J27</f>
        <v>3212393.68724942</v>
      </c>
      <c r="I27" s="69" t="n">
        <f aca="false">$O$5</f>
        <v>0.05</v>
      </c>
      <c r="J27" s="70" t="n">
        <f aca="false">IF(H26=0,0,H26*($O$5/365))</f>
        <v>439.993656656542</v>
      </c>
      <c r="L27" s="1" t="str">
        <f aca="false">IF(B27="","",LEFT(B27,2))</f>
        <v>TY</v>
      </c>
    </row>
    <row r="28" customFormat="false" ht="13.5" hidden="false" customHeight="true" outlineLevel="0" collapsed="false">
      <c r="A28" s="28" t="n">
        <f aca="false">Portfolio!A38</f>
        <v>46102</v>
      </c>
      <c r="C28" s="49"/>
      <c r="D28" s="66" t="str">
        <f aca="false">IF(B28="","",VLOOKUP(LEFT(B28,2),$O$7:$P$10,2,FALSE()))</f>
        <v/>
      </c>
      <c r="E28" s="67"/>
      <c r="F28" s="68" t="n">
        <f aca="false">IF(OR(C28="",C27="",E28=""),0,(C28-C27)/100*E28*D28)</f>
        <v>0</v>
      </c>
      <c r="G28" s="68" t="n">
        <f aca="false">SUM($F$3:F28)</f>
        <v>2205828.125</v>
      </c>
      <c r="H28" s="68" t="n">
        <f aca="false">H27+F28+J28</f>
        <v>3212833.74117918</v>
      </c>
      <c r="I28" s="69" t="n">
        <f aca="false">$O$5</f>
        <v>0.05</v>
      </c>
      <c r="J28" s="70" t="n">
        <f aca="false">IF(H27=0,0,H27*($O$5/365))</f>
        <v>440.053929760194</v>
      </c>
      <c r="L28" s="1" t="str">
        <f aca="false">IF(B28="","",LEFT(B28,2))</f>
        <v/>
      </c>
    </row>
    <row r="29" customFormat="false" ht="13.5" hidden="false" customHeight="true" outlineLevel="0" collapsed="false">
      <c r="A29" s="28" t="n">
        <f aca="false">Portfolio!A39</f>
        <v>46103</v>
      </c>
      <c r="C29" s="49"/>
      <c r="D29" s="66" t="str">
        <f aca="false">IF(B29="","",VLOOKUP(LEFT(B29,2),$O$7:$P$10,2,FALSE()))</f>
        <v/>
      </c>
      <c r="E29" s="67"/>
      <c r="F29" s="68" t="n">
        <f aca="false">IF(OR(C29="",C28="",E29=""),0,(C29-C28)/100*E29*D29)</f>
        <v>0</v>
      </c>
      <c r="G29" s="68" t="n">
        <f aca="false">SUM($F$3:F29)</f>
        <v>2205828.125</v>
      </c>
      <c r="H29" s="68" t="n">
        <f aca="false">H28+F29+J29</f>
        <v>3213273.8553903</v>
      </c>
      <c r="I29" s="69" t="n">
        <f aca="false">$O$5</f>
        <v>0.05</v>
      </c>
      <c r="J29" s="70" t="n">
        <f aca="false">IF(H28=0,0,H28*($O$5/365))</f>
        <v>440.114211120435</v>
      </c>
      <c r="L29" s="1" t="str">
        <f aca="false">IF(B29="","",LEFT(B29,2))</f>
        <v/>
      </c>
    </row>
    <row r="30" customFormat="false" ht="13.5" hidden="false" customHeight="true" outlineLevel="0" collapsed="false">
      <c r="A30" s="28" t="n">
        <f aca="false">Portfolio!A40</f>
        <v>46104</v>
      </c>
      <c r="B30" s="1" t="s">
        <v>100</v>
      </c>
      <c r="C30" s="49" t="n">
        <v>110.921875</v>
      </c>
      <c r="D30" s="66" t="n">
        <f aca="false">IF(B30="","",VLOOKUP(LEFT(B30,2),$O$7:$P$10,2,FALSE()))</f>
        <v>100000</v>
      </c>
      <c r="E30" s="67"/>
      <c r="F30" s="68" t="n">
        <f aca="false">IF(OR(C30="",C29="",E30=""),0,(C30-C29)/100*E30*D30)</f>
        <v>0</v>
      </c>
      <c r="G30" s="68" t="n">
        <f aca="false">SUM($F$3:F30)</f>
        <v>2205828.125</v>
      </c>
      <c r="H30" s="68" t="n">
        <f aca="false">H29+F30+J30</f>
        <v>3213714.02989104</v>
      </c>
      <c r="I30" s="69" t="n">
        <f aca="false">$O$5</f>
        <v>0.05</v>
      </c>
      <c r="J30" s="70" t="n">
        <f aca="false">IF(H29=0,0,H29*($O$5/365))</f>
        <v>440.174500738397</v>
      </c>
      <c r="L30" s="1" t="str">
        <f aca="false">IF(B30="","",LEFT(B30,2))</f>
        <v>TY</v>
      </c>
    </row>
    <row r="31" customFormat="false" ht="13.5" hidden="false" customHeight="true" outlineLevel="0" collapsed="false">
      <c r="A31" s="28" t="n">
        <f aca="false">Portfolio!A41</f>
        <v>46105</v>
      </c>
      <c r="B31" s="1" t="s">
        <v>100</v>
      </c>
      <c r="C31" s="49" t="n">
        <v>110.421875</v>
      </c>
      <c r="D31" s="66" t="n">
        <f aca="false">IF(B31="","",VLOOKUP(LEFT(B31,2),$O$7:$P$10,2,FALSE()))</f>
        <v>100000</v>
      </c>
      <c r="E31" s="67"/>
      <c r="F31" s="68" t="n">
        <f aca="false">IF(OR(C31="",C30="",E31=""),0,(C31-C30)/100*E31*D31)</f>
        <v>0</v>
      </c>
      <c r="G31" s="68" t="n">
        <f aca="false">SUM($F$3:F31)</f>
        <v>2205828.125</v>
      </c>
      <c r="H31" s="68" t="n">
        <f aca="false">H30+F31+J31</f>
        <v>3214154.26468965</v>
      </c>
      <c r="I31" s="69" t="n">
        <f aca="false">$O$5</f>
        <v>0.05</v>
      </c>
      <c r="J31" s="70" t="n">
        <f aca="false">IF(H30=0,0,H30*($O$5/365))</f>
        <v>440.23479861521</v>
      </c>
      <c r="L31" s="1" t="str">
        <f aca="false">IF(B31="","",LEFT(B31,2))</f>
        <v>TY</v>
      </c>
    </row>
    <row r="32" customFormat="false" ht="13.5" hidden="false" customHeight="true" outlineLevel="0" collapsed="false">
      <c r="A32" s="28" t="n">
        <f aca="false">Portfolio!A42</f>
        <v>46106</v>
      </c>
      <c r="B32" s="1" t="s">
        <v>100</v>
      </c>
      <c r="C32" s="49" t="n">
        <v>110.859375</v>
      </c>
      <c r="D32" s="66" t="n">
        <f aca="false">IF(B32="","",VLOOKUP(LEFT(B32,2),$O$7:$P$10,2,FALSE()))</f>
        <v>100000</v>
      </c>
      <c r="E32" s="75" t="n">
        <v>-1289</v>
      </c>
      <c r="F32" s="68" t="n">
        <f aca="false">IF(OR(C32="",C31="",E32=""),0,(C32-C31)/100*E32*D32)</f>
        <v>-563937.5</v>
      </c>
      <c r="G32" s="68" t="n">
        <f aca="false">SUM($F$3:F32)</f>
        <v>1641890.625</v>
      </c>
      <c r="H32" s="68" t="n">
        <f aca="false">H31+F32+J32</f>
        <v>2650657.0597944</v>
      </c>
      <c r="I32" s="69" t="n">
        <f aca="false">$O$5</f>
        <v>0.05</v>
      </c>
      <c r="J32" s="70" t="n">
        <f aca="false">IF(H31=0,0,H31*($O$5/365))</f>
        <v>440.295104752007</v>
      </c>
      <c r="L32" s="1" t="str">
        <f aca="false">IF(B32="","",LEFT(B32,2))</f>
        <v>TY</v>
      </c>
    </row>
    <row r="33" customFormat="false" ht="13.5" hidden="false" customHeight="true" outlineLevel="0" collapsed="false">
      <c r="A33" s="28" t="n">
        <f aca="false">Portfolio!A43</f>
        <v>46107</v>
      </c>
      <c r="B33" s="1" t="s">
        <v>100</v>
      </c>
      <c r="C33" s="49" t="n">
        <v>110.171875</v>
      </c>
      <c r="D33" s="66" t="n">
        <f aca="false">IF(B33="","",VLOOKUP(LEFT(B33,2),$O$7:$P$10,2,FALSE()))</f>
        <v>100000</v>
      </c>
      <c r="E33" s="75" t="n">
        <v>-1289</v>
      </c>
      <c r="F33" s="68" t="n">
        <f aca="false">IF(OR(C33="",C32="",E33=""),0,(C33-C32)/100*E33*D33)</f>
        <v>886187.5</v>
      </c>
      <c r="G33" s="68" t="n">
        <f aca="false">SUM($F$3:F33)</f>
        <v>2528078.125</v>
      </c>
      <c r="H33" s="68" t="n">
        <f aca="false">H32+F33+J33</f>
        <v>3537207.66350122</v>
      </c>
      <c r="I33" s="69" t="n">
        <f aca="false">$O$5</f>
        <v>0.05</v>
      </c>
      <c r="J33" s="70" t="n">
        <f aca="false">IF(H32=0,0,H32*($O$5/365))</f>
        <v>363.103706821151</v>
      </c>
      <c r="L33" s="1" t="str">
        <f aca="false">IF(B33="","",LEFT(B33,2))</f>
        <v>TY</v>
      </c>
    </row>
    <row r="34" customFormat="false" ht="13.5" hidden="false" customHeight="true" outlineLevel="0" collapsed="false">
      <c r="A34" s="28" t="n">
        <f aca="false">Portfolio!A44</f>
        <v>46108</v>
      </c>
      <c r="B34" s="1" t="s">
        <v>100</v>
      </c>
      <c r="C34" s="49" t="n">
        <v>110.15625</v>
      </c>
      <c r="D34" s="66" t="n">
        <f aca="false">IF(B34="","",VLOOKUP(LEFT(B34,2),$O$7:$P$10,2,FALSE()))</f>
        <v>100000</v>
      </c>
      <c r="E34" s="75" t="n">
        <v>-1289</v>
      </c>
      <c r="F34" s="68" t="n">
        <f aca="false">IF(OR(C34="",C33="",E34=""),0,(C34-C33)/100*E34*D34)</f>
        <v>20140.625</v>
      </c>
      <c r="G34" s="68" t="n">
        <f aca="false">SUM($F$3:F34)</f>
        <v>2548218.75</v>
      </c>
      <c r="H34" s="68" t="n">
        <f aca="false">H33+F34+J34</f>
        <v>3557832.83749622</v>
      </c>
      <c r="I34" s="69" t="n">
        <f aca="false">$O$5</f>
        <v>0.05</v>
      </c>
      <c r="J34" s="70" t="n">
        <f aca="false">IF(H33=0,0,H33*($O$5/365))</f>
        <v>484.548995000168</v>
      </c>
      <c r="L34" s="1" t="str">
        <f aca="false">IF(B34="","",LEFT(B34,2))</f>
        <v>TY</v>
      </c>
    </row>
    <row r="35" customFormat="false" ht="13.5" hidden="false" customHeight="true" outlineLevel="0" collapsed="false">
      <c r="A35" s="28" t="n">
        <f aca="false">Portfolio!A45</f>
        <v>46109</v>
      </c>
      <c r="C35" s="49"/>
      <c r="D35" s="66" t="str">
        <f aca="false">IF(B35="","",VLOOKUP(LEFT(B35,2),$O$7:$P$10,2,FALSE()))</f>
        <v/>
      </c>
      <c r="E35" s="67"/>
      <c r="F35" s="68" t="n">
        <f aca="false">IF(OR(C35="",C34="",E35=""),0,(C35-C34)/100*E35*D35)</f>
        <v>0</v>
      </c>
      <c r="G35" s="68" t="n">
        <f aca="false">SUM($F$3:F35)</f>
        <v>2548218.75</v>
      </c>
      <c r="H35" s="68" t="n">
        <f aca="false">H34+F35+J35</f>
        <v>3558320.21185752</v>
      </c>
      <c r="I35" s="69" t="n">
        <f aca="false">$O$5</f>
        <v>0.05</v>
      </c>
      <c r="J35" s="70" t="n">
        <f aca="false">IF(H34=0,0,H34*($O$5/365))</f>
        <v>487.374361300853</v>
      </c>
      <c r="L35" s="1" t="str">
        <f aca="false">IF(B35="","",LEFT(B35,2))</f>
        <v/>
      </c>
    </row>
    <row r="36" customFormat="false" ht="13.5" hidden="false" customHeight="true" outlineLevel="0" collapsed="false">
      <c r="A36" s="28" t="n">
        <f aca="false">Portfolio!A46</f>
        <v>46110</v>
      </c>
      <c r="C36" s="49"/>
      <c r="D36" s="66" t="str">
        <f aca="false">IF(B36="","",VLOOKUP(LEFT(B36,2),$O$7:$P$10,2,FALSE()))</f>
        <v/>
      </c>
      <c r="E36" s="67"/>
      <c r="F36" s="68" t="n">
        <f aca="false">IF(OR(C36="",C35="",E36=""),0,(C36-C35)/100*E36*D36)</f>
        <v>0</v>
      </c>
      <c r="G36" s="68" t="n">
        <f aca="false">SUM($F$3:F36)</f>
        <v>2548218.75</v>
      </c>
      <c r="H36" s="68" t="n">
        <f aca="false">H35+F36+J36</f>
        <v>3558807.65298244</v>
      </c>
      <c r="I36" s="69" t="n">
        <f aca="false">$O$5</f>
        <v>0.05</v>
      </c>
      <c r="J36" s="70" t="n">
        <f aca="false">IF(H35=0,0,H35*($O$5/365))</f>
        <v>487.44112491199</v>
      </c>
      <c r="L36" s="1" t="str">
        <f aca="false">IF(B36="","",LEFT(B36,2))</f>
        <v/>
      </c>
    </row>
    <row r="37" customFormat="false" ht="13.5" hidden="false" customHeight="true" outlineLevel="0" collapsed="false">
      <c r="A37" s="28" t="n">
        <f aca="false">Portfolio!A47</f>
        <v>46111</v>
      </c>
      <c r="B37" s="1" t="s">
        <v>100</v>
      </c>
      <c r="C37" s="49" t="n">
        <v>110.8125</v>
      </c>
      <c r="D37" s="66" t="n">
        <f aca="false">IF(B37="","",VLOOKUP(LEFT(B37,2),$O$7:$P$10,2,FALSE()))</f>
        <v>100000</v>
      </c>
      <c r="E37" s="67"/>
      <c r="F37" s="68" t="n">
        <f aca="false">IF(OR(C37="",C36="",E37=""),0,(C37-C36)/100*E37*D37)</f>
        <v>0</v>
      </c>
      <c r="G37" s="68" t="n">
        <f aca="false">SUM($F$3:F37)</f>
        <v>2548218.75</v>
      </c>
      <c r="H37" s="68" t="n">
        <f aca="false">H36+F37+J37</f>
        <v>3559295.16088011</v>
      </c>
      <c r="I37" s="69" t="n">
        <f aca="false">$O$5</f>
        <v>0.05</v>
      </c>
      <c r="J37" s="70" t="n">
        <f aca="false">IF(H36=0,0,H36*($O$5/365))</f>
        <v>487.507897668827</v>
      </c>
      <c r="L37" s="1" t="str">
        <f aca="false">IF(B37="","",LEFT(B37,2))</f>
        <v>TY</v>
      </c>
    </row>
    <row r="38" customFormat="false" ht="13.5" hidden="false" customHeight="true" outlineLevel="0" collapsed="false">
      <c r="A38" s="28" t="n">
        <f aca="false">Portfolio!A48</f>
        <v>46112</v>
      </c>
      <c r="B38" s="1" t="s">
        <v>100</v>
      </c>
      <c r="C38" s="49" t="n">
        <v>111.046875</v>
      </c>
      <c r="D38" s="66" t="n">
        <f aca="false">IF(B38="","",VLOOKUP(LEFT(B38,2),$O$7:$P$10,2,FALSE()))</f>
        <v>100000</v>
      </c>
      <c r="E38" s="67"/>
      <c r="F38" s="68" t="n">
        <f aca="false">IF(OR(C38="",C37="",E38=""),0,(C38-C37)/100*E38*D38)</f>
        <v>0</v>
      </c>
      <c r="G38" s="68" t="n">
        <f aca="false">SUM($F$3:F38)</f>
        <v>2548218.75</v>
      </c>
      <c r="H38" s="68" t="n">
        <f aca="false">H37+F38+J38</f>
        <v>3559782.73555968</v>
      </c>
      <c r="I38" s="69" t="n">
        <f aca="false">$O$5</f>
        <v>0.05</v>
      </c>
      <c r="J38" s="70" t="n">
        <f aca="false">IF(H37=0,0,H37*($O$5/365))</f>
        <v>487.574679572617</v>
      </c>
      <c r="L38" s="1" t="str">
        <f aca="false">IF(B38="","",LEFT(B38,2))</f>
        <v>TY</v>
      </c>
    </row>
    <row r="39" customFormat="false" ht="13.5" hidden="false" customHeight="true" outlineLevel="0" collapsed="false">
      <c r="A39" s="28" t="n">
        <f aca="false">Portfolio!A49</f>
        <v>46113</v>
      </c>
      <c r="B39" s="1" t="s">
        <v>100</v>
      </c>
      <c r="C39" s="49" t="n">
        <v>111</v>
      </c>
      <c r="D39" s="66" t="n">
        <f aca="false">IF(B39="","",VLOOKUP(LEFT(B39,2),$O$7:$P$10,2,FALSE()))</f>
        <v>100000</v>
      </c>
      <c r="E39" s="75" t="n">
        <v>-1287</v>
      </c>
      <c r="F39" s="68" t="n">
        <f aca="false">IF(OR(C39="",C38="",E39=""),0,(C39-C38)/100*E39*D39)</f>
        <v>60328.125</v>
      </c>
      <c r="G39" s="68" t="n">
        <f aca="false">SUM($F$3:F39)</f>
        <v>2608546.875</v>
      </c>
      <c r="H39" s="68" t="n">
        <f aca="false">H38+F39+J39</f>
        <v>3620598.5020303</v>
      </c>
      <c r="I39" s="69" t="n">
        <f aca="false">$O$5</f>
        <v>0.05</v>
      </c>
      <c r="J39" s="70" t="n">
        <f aca="false">IF(H38=0,0,H38*($O$5/365))</f>
        <v>487.641470624614</v>
      </c>
      <c r="L39" s="1" t="str">
        <f aca="false">IF(B39="","",LEFT(B39,2))</f>
        <v>TY</v>
      </c>
    </row>
    <row r="40" customFormat="false" ht="13.5" hidden="false" customHeight="true" outlineLevel="0" collapsed="false">
      <c r="A40" s="28" t="n">
        <f aca="false">Portfolio!A50</f>
        <v>46114</v>
      </c>
      <c r="B40" s="1" t="s">
        <v>100</v>
      </c>
      <c r="C40" s="49" t="n">
        <v>111.015625</v>
      </c>
      <c r="D40" s="66" t="n">
        <f aca="false">IF(B40="","",VLOOKUP(LEFT(B40,2),$O$7:$P$10,2,FALSE()))</f>
        <v>100000</v>
      </c>
      <c r="E40" s="75" t="n">
        <v>-1287</v>
      </c>
      <c r="F40" s="68" t="n">
        <f aca="false">IF(OR(C40="",C39="",E40=""),0,(C40-C39)/100*E40*D40)</f>
        <v>-20109.375</v>
      </c>
      <c r="G40" s="68" t="n">
        <f aca="false">SUM($F$3:F40)</f>
        <v>2588437.5</v>
      </c>
      <c r="H40" s="68" t="n">
        <f aca="false">H39+F40+J40</f>
        <v>3600985.09942784</v>
      </c>
      <c r="I40" s="69" t="n">
        <f aca="false">$O$5</f>
        <v>0.05</v>
      </c>
      <c r="J40" s="70" t="n">
        <f aca="false">IF(H39=0,0,H39*($O$5/365))</f>
        <v>495.972397538398</v>
      </c>
      <c r="L40" s="1" t="str">
        <f aca="false">IF(B40="","",LEFT(B40,2))</f>
        <v>TY</v>
      </c>
    </row>
    <row r="41" customFormat="false" ht="13.5" hidden="false" customHeight="true" outlineLevel="0" collapsed="false">
      <c r="A41" s="28" t="n">
        <f aca="false">Portfolio!A51</f>
        <v>46115</v>
      </c>
      <c r="B41" s="1" t="s">
        <v>100</v>
      </c>
      <c r="C41" s="49" t="n">
        <v>110.75</v>
      </c>
      <c r="D41" s="66" t="n">
        <f aca="false">IF(B41="","",VLOOKUP(LEFT(B41,2),$O$7:$P$10,2,FALSE()))</f>
        <v>100000</v>
      </c>
      <c r="E41" s="75" t="n">
        <v>-1290</v>
      </c>
      <c r="F41" s="68" t="n">
        <f aca="false">IF(OR(C41="",C40="",E41=""),0,(C41-C40)/100*E41*D41)</f>
        <v>342656.25</v>
      </c>
      <c r="G41" s="68" t="n">
        <f aca="false">SUM($F$3:F41)</f>
        <v>2931093.75</v>
      </c>
      <c r="H41" s="68" t="n">
        <f aca="false">H40+F41+J41</f>
        <v>3944134.6350579</v>
      </c>
      <c r="I41" s="69" t="n">
        <f aca="false">$O$5</f>
        <v>0.05</v>
      </c>
      <c r="J41" s="70" t="n">
        <f aca="false">IF(H40=0,0,H40*($O$5/365))</f>
        <v>493.285630058608</v>
      </c>
      <c r="L41" s="1" t="str">
        <f aca="false">IF(B41="","",LEFT(B41,2))</f>
        <v>TY</v>
      </c>
    </row>
    <row r="42" customFormat="false" ht="13.5" hidden="false" customHeight="true" outlineLevel="0" collapsed="false">
      <c r="A42" s="28" t="n">
        <f aca="false">Portfolio!A52</f>
        <v>46116</v>
      </c>
      <c r="C42" s="49"/>
      <c r="D42" s="66" t="str">
        <f aca="false">IF(B42="","",VLOOKUP(LEFT(B42,2),$O$7:$P$10,2,FALSE()))</f>
        <v/>
      </c>
      <c r="E42" s="67"/>
      <c r="F42" s="68" t="n">
        <f aca="false">IF(OR(C42="",C41="",E42=""),0,(C42-C41)/100*E42*D42)</f>
        <v>0</v>
      </c>
      <c r="G42" s="68" t="n">
        <f aca="false">SUM($F$3:F42)</f>
        <v>2931093.75</v>
      </c>
      <c r="H42" s="68" t="n">
        <f aca="false">H41+F42+J42</f>
        <v>3944674.92747366</v>
      </c>
      <c r="I42" s="69" t="n">
        <f aca="false">$O$5</f>
        <v>0.05</v>
      </c>
      <c r="J42" s="70" t="n">
        <f aca="false">IF(H41=0,0,H41*($O$5/365))</f>
        <v>540.292415761356</v>
      </c>
      <c r="L42" s="1" t="str">
        <f aca="false">IF(B42="","",LEFT(B42,2))</f>
        <v/>
      </c>
    </row>
    <row r="43" customFormat="false" ht="13.5" hidden="false" customHeight="true" outlineLevel="0" collapsed="false">
      <c r="A43" s="28" t="n">
        <f aca="false">Portfolio!A53</f>
        <v>46117</v>
      </c>
      <c r="C43" s="49"/>
      <c r="D43" s="66" t="str">
        <f aca="false">IF(B43="","",VLOOKUP(LEFT(B43,2),$O$7:$P$10,2,FALSE()))</f>
        <v/>
      </c>
      <c r="E43" s="67"/>
      <c r="F43" s="68" t="n">
        <f aca="false">IF(OR(C43="",C42="",E43=""),0,(C43-C42)/100*E43*D43)</f>
        <v>0</v>
      </c>
      <c r="G43" s="68" t="n">
        <f aca="false">SUM($F$3:F43)</f>
        <v>2931093.75</v>
      </c>
      <c r="H43" s="68" t="n">
        <f aca="false">H42+F43+J43</f>
        <v>3945215.29390208</v>
      </c>
      <c r="I43" s="69" t="n">
        <f aca="false">$O$5</f>
        <v>0.05</v>
      </c>
      <c r="J43" s="70" t="n">
        <f aca="false">IF(H42=0,0,H42*($O$5/365))</f>
        <v>540.36642842105</v>
      </c>
      <c r="L43" s="1" t="str">
        <f aca="false">IF(B43="","",LEFT(B43,2))</f>
        <v/>
      </c>
    </row>
    <row r="44" customFormat="false" ht="13.5" hidden="false" customHeight="true" outlineLevel="0" collapsed="false">
      <c r="A44" s="28" t="n">
        <f aca="false">Portfolio!A54</f>
        <v>46118</v>
      </c>
      <c r="B44" s="1" t="s">
        <v>100</v>
      </c>
      <c r="C44" s="49" t="n">
        <v>110.8125</v>
      </c>
      <c r="D44" s="66" t="n">
        <f aca="false">IF(B44="","",VLOOKUP(LEFT(B44,2),$O$7:$P$10,2,FALSE()))</f>
        <v>100000</v>
      </c>
      <c r="E44" s="67"/>
      <c r="F44" s="68" t="n">
        <f aca="false">IF(OR(C44="",C43="",E44=""),0,(C44-C43)/100*E44*D44)</f>
        <v>0</v>
      </c>
      <c r="G44" s="68" t="n">
        <f aca="false">SUM($F$3:F44)</f>
        <v>2931093.75</v>
      </c>
      <c r="H44" s="68" t="n">
        <f aca="false">H43+F44+J44</f>
        <v>3945755.7343533</v>
      </c>
      <c r="I44" s="69" t="n">
        <f aca="false">$O$5</f>
        <v>0.05</v>
      </c>
      <c r="J44" s="70" t="n">
        <f aca="false">IF(H43=0,0,H43*($O$5/365))</f>
        <v>540.440451219463</v>
      </c>
      <c r="L44" s="1" t="str">
        <f aca="false">IF(B44="","",LEFT(B44,2))</f>
        <v>TY</v>
      </c>
    </row>
    <row r="45" customFormat="false" ht="13.5" hidden="false" customHeight="true" outlineLevel="0" collapsed="false">
      <c r="A45" s="28" t="n">
        <f aca="false">Portfolio!A55</f>
        <v>46119</v>
      </c>
      <c r="B45" s="1" t="s">
        <v>100</v>
      </c>
      <c r="C45" s="49" t="n">
        <v>110.859375</v>
      </c>
      <c r="D45" s="66" t="n">
        <f aca="false">IF(B45="","",VLOOKUP(LEFT(B45,2),$O$7:$P$10,2,FALSE()))</f>
        <v>100000</v>
      </c>
      <c r="E45" s="67"/>
      <c r="F45" s="68" t="n">
        <f aca="false">IF(OR(C45="",C44="",E45=""),0,(C45-C44)/100*E45*D45)</f>
        <v>0</v>
      </c>
      <c r="G45" s="68" t="n">
        <f aca="false">SUM($F$3:F45)</f>
        <v>2931093.75</v>
      </c>
      <c r="H45" s="68" t="n">
        <f aca="false">H44+F45+J45</f>
        <v>3946296.24883746</v>
      </c>
      <c r="I45" s="69" t="n">
        <f aca="false">$O$5</f>
        <v>0.05</v>
      </c>
      <c r="J45" s="70" t="n">
        <f aca="false">IF(H44=0,0,H44*($O$5/365))</f>
        <v>540.514484157987</v>
      </c>
      <c r="L45" s="1" t="str">
        <f aca="false">IF(B45="","",LEFT(B45,2))</f>
        <v>TY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D1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J12" activeCellId="0" sqref="J12"/>
    </sheetView>
  </sheetViews>
  <sheetFormatPr defaultColWidth="9.00390625" defaultRowHeight="12" zeroHeight="false" outlineLevelRow="0" outlineLevelCol="0"/>
  <cols>
    <col collapsed="false" customWidth="true" hidden="false" outlineLevel="0" max="1" min="1" style="1" width="30"/>
    <col collapsed="false" customWidth="true" hidden="false" outlineLevel="0" max="2" min="2" style="78" width="22"/>
    <col collapsed="false" customWidth="true" hidden="false" outlineLevel="0" max="3" min="3" style="1" width="10"/>
    <col collapsed="false" customWidth="true" hidden="false" outlineLevel="0" max="4" min="4" style="1" width="12"/>
  </cols>
  <sheetData>
    <row r="1" customFormat="false" ht="13.5" hidden="false" customHeight="true" outlineLevel="0" collapsed="false">
      <c r="A1" s="79" t="s">
        <v>110</v>
      </c>
    </row>
    <row r="2" customFormat="false" ht="13.5" hidden="false" customHeight="true" outlineLevel="0" collapsed="false">
      <c r="A2" s="80" t="s">
        <v>111</v>
      </c>
      <c r="B2" s="81" t="n">
        <v>100000000</v>
      </c>
    </row>
    <row r="3" customFormat="false" ht="13.5" hidden="false" customHeight="true" outlineLevel="0" collapsed="false">
      <c r="A3" s="80" t="s">
        <v>112</v>
      </c>
      <c r="B3" s="82" t="n">
        <v>9.28871</v>
      </c>
    </row>
    <row r="4" customFormat="false" ht="13.5" hidden="false" customHeight="true" outlineLevel="0" collapsed="false">
      <c r="A4" s="80" t="s">
        <v>89</v>
      </c>
      <c r="B4" s="83" t="n">
        <v>110.75</v>
      </c>
      <c r="C4" s="61" t="s">
        <v>82</v>
      </c>
    </row>
    <row r="5" customFormat="false" ht="13.5" hidden="false" customHeight="true" outlineLevel="0" collapsed="false">
      <c r="A5" s="80" t="s">
        <v>113</v>
      </c>
      <c r="B5" s="84" t="n">
        <v>6.5</v>
      </c>
      <c r="C5" s="61" t="s">
        <v>82</v>
      </c>
    </row>
    <row r="6" customFormat="false" ht="13.5" hidden="false" customHeight="true" outlineLevel="0" collapsed="false">
      <c r="A6" s="80" t="s">
        <v>114</v>
      </c>
      <c r="B6" s="67" t="n">
        <v>100000</v>
      </c>
      <c r="C6" s="61" t="s">
        <v>82</v>
      </c>
      <c r="D6" s="61" t="s">
        <v>115</v>
      </c>
    </row>
    <row r="7" customFormat="false" ht="13.5" hidden="false" customHeight="true" outlineLevel="0" collapsed="false">
      <c r="A7" s="28"/>
    </row>
    <row r="8" customFormat="false" ht="13.5" hidden="false" customHeight="true" outlineLevel="0" collapsed="false">
      <c r="A8" s="28" t="s">
        <v>116</v>
      </c>
      <c r="B8" s="85" t="n">
        <f aca="false">(B2*B3)/(B4/100*B5*B6)</f>
        <v>1290.32262545581</v>
      </c>
    </row>
    <row r="9" customFormat="false" ht="13.5" hidden="false" customHeight="true" outlineLevel="0" collapsed="false">
      <c r="A9" s="28"/>
    </row>
    <row r="10" customFormat="false" ht="13.5" hidden="false" customHeight="true" outlineLevel="0" collapsed="false">
      <c r="A10" s="28" t="s">
        <v>117</v>
      </c>
      <c r="B10" s="85" t="n">
        <f aca="false">-B8</f>
        <v>-1290.32262545581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Z1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3" topLeftCell="A4" activePane="bottomLeft" state="frozen"/>
      <selection pane="topLeft" activeCell="A1" activeCellId="0" sqref="A1"/>
      <selection pane="bottomLeft" activeCell="F12" activeCellId="0" sqref="F12"/>
    </sheetView>
  </sheetViews>
  <sheetFormatPr defaultColWidth="12.6328125" defaultRowHeight="15.75" zeroHeight="false" outlineLevelRow="0" outlineLevelCol="0"/>
  <cols>
    <col collapsed="false" customWidth="true" hidden="false" outlineLevel="0" max="1" min="1" style="1" width="11"/>
    <col collapsed="false" customWidth="true" hidden="false" outlineLevel="0" max="2" min="2" style="1" width="16"/>
    <col collapsed="false" customWidth="true" hidden="false" outlineLevel="0" max="4" min="3" style="1" width="9"/>
    <col collapsed="false" customWidth="true" hidden="false" outlineLevel="0" max="5" min="5" style="1" width="10"/>
    <col collapsed="false" customWidth="true" hidden="false" outlineLevel="0" max="6" min="6" style="1" width="12"/>
    <col collapsed="false" customWidth="true" hidden="false" outlineLevel="0" max="7" min="7" style="1" width="13"/>
    <col collapsed="false" customWidth="true" hidden="false" outlineLevel="0" max="8" min="8" style="1" width="14"/>
    <col collapsed="false" customWidth="true" hidden="false" outlineLevel="0" max="9" min="9" style="1" width="34"/>
    <col collapsed="false" customWidth="true" hidden="false" outlineLevel="0" max="10" min="10" style="1" width="11"/>
  </cols>
  <sheetData>
    <row r="1" customFormat="false" ht="15.75" hidden="false" customHeight="true" outlineLevel="0" collapsed="false">
      <c r="A1" s="2" t="s">
        <v>118</v>
      </c>
    </row>
    <row r="3" customFormat="false" ht="12.75" hidden="false" customHeight="true" outlineLevel="0" collapsed="false">
      <c r="A3" s="44" t="s">
        <v>119</v>
      </c>
      <c r="B3" s="44" t="s">
        <v>120</v>
      </c>
      <c r="C3" s="44" t="s">
        <v>98</v>
      </c>
      <c r="D3" s="44" t="s">
        <v>121</v>
      </c>
      <c r="E3" s="44" t="s">
        <v>122</v>
      </c>
      <c r="F3" s="44" t="s">
        <v>123</v>
      </c>
      <c r="G3" s="44" t="s">
        <v>124</v>
      </c>
      <c r="H3" s="44" t="s">
        <v>125</v>
      </c>
      <c r="I3" s="44" t="s">
        <v>97</v>
      </c>
      <c r="J3" s="44" t="s">
        <v>126</v>
      </c>
      <c r="K3" s="86"/>
      <c r="L3" s="86"/>
      <c r="M3" s="86"/>
      <c r="N3" s="86"/>
      <c r="O3" s="86"/>
      <c r="P3" s="86"/>
      <c r="Q3" s="86"/>
      <c r="R3" s="86"/>
      <c r="S3" s="86"/>
      <c r="T3" s="86"/>
      <c r="U3" s="86"/>
      <c r="V3" s="86"/>
      <c r="W3" s="86"/>
      <c r="X3" s="86"/>
      <c r="Y3" s="86"/>
      <c r="Z3" s="86"/>
    </row>
    <row r="4" customFormat="false" ht="15.75" hidden="false" customHeight="true" outlineLevel="0" collapsed="false">
      <c r="A4" s="87" t="n">
        <v>46080</v>
      </c>
      <c r="B4" s="88" t="s">
        <v>127</v>
      </c>
      <c r="C4" s="88" t="s">
        <v>100</v>
      </c>
      <c r="D4" s="88" t="s">
        <v>128</v>
      </c>
      <c r="E4" s="89" t="n">
        <v>1261</v>
      </c>
      <c r="F4" s="90" t="n">
        <v>113.640625</v>
      </c>
      <c r="G4" s="88" t="s">
        <v>129</v>
      </c>
      <c r="H4" s="91" t="n">
        <v>14330.0828125</v>
      </c>
      <c r="I4" s="88" t="s">
        <v>130</v>
      </c>
      <c r="J4" s="88" t="s">
        <v>131</v>
      </c>
    </row>
    <row r="5" customFormat="false" ht="15.75" hidden="false" customHeight="true" outlineLevel="0" collapsed="false">
      <c r="A5" s="92" t="n">
        <v>46080</v>
      </c>
      <c r="B5" s="1" t="s">
        <v>127</v>
      </c>
      <c r="C5" s="1" t="s">
        <v>100</v>
      </c>
      <c r="D5" s="1" t="s">
        <v>132</v>
      </c>
      <c r="E5" s="67" t="n">
        <v>3</v>
      </c>
      <c r="F5" s="49" t="n">
        <v>113.640625</v>
      </c>
      <c r="G5" s="1" t="s">
        <v>129</v>
      </c>
      <c r="H5" s="50" t="n">
        <v>34.0921875</v>
      </c>
      <c r="I5" s="1" t="s">
        <v>133</v>
      </c>
      <c r="J5" s="1" t="s">
        <v>131</v>
      </c>
    </row>
    <row r="6" customFormat="false" ht="15.75" hidden="false" customHeight="true" outlineLevel="0" collapsed="false">
      <c r="A6" s="87" t="n">
        <v>46083</v>
      </c>
      <c r="B6" s="88" t="s">
        <v>127</v>
      </c>
      <c r="C6" s="88" t="s">
        <v>100</v>
      </c>
      <c r="D6" s="88" t="s">
        <v>128</v>
      </c>
      <c r="E6" s="89" t="n">
        <v>3</v>
      </c>
      <c r="F6" s="90" t="n">
        <v>113.34375</v>
      </c>
      <c r="G6" s="88" t="s">
        <v>129</v>
      </c>
      <c r="H6" s="91" t="n">
        <v>34.003125</v>
      </c>
      <c r="I6" s="88" t="s">
        <v>134</v>
      </c>
      <c r="J6" s="88" t="s">
        <v>131</v>
      </c>
    </row>
    <row r="7" customFormat="false" ht="15.75" hidden="false" customHeight="true" outlineLevel="0" collapsed="false">
      <c r="A7" s="92" t="n">
        <v>46085</v>
      </c>
      <c r="B7" s="1" t="s">
        <v>127</v>
      </c>
      <c r="C7" s="1" t="s">
        <v>100</v>
      </c>
      <c r="D7" s="1" t="s">
        <v>128</v>
      </c>
      <c r="E7" s="67" t="n">
        <v>6</v>
      </c>
      <c r="F7" s="49" t="n">
        <v>112.78125</v>
      </c>
      <c r="G7" s="1" t="s">
        <v>129</v>
      </c>
      <c r="H7" s="50" t="n">
        <v>67.66875</v>
      </c>
      <c r="I7" s="1" t="s">
        <v>135</v>
      </c>
      <c r="J7" s="1" t="s">
        <v>131</v>
      </c>
    </row>
    <row r="8" customFormat="false" ht="15.75" hidden="false" customHeight="true" outlineLevel="0" collapsed="false">
      <c r="A8" s="87" t="n">
        <v>46092</v>
      </c>
      <c r="B8" s="88" t="s">
        <v>127</v>
      </c>
      <c r="C8" s="88" t="s">
        <v>100</v>
      </c>
      <c r="D8" s="88" t="s">
        <v>128</v>
      </c>
      <c r="E8" s="89" t="n">
        <v>8</v>
      </c>
      <c r="F8" s="90" t="n">
        <v>112.0625</v>
      </c>
      <c r="G8" s="88" t="s">
        <v>129</v>
      </c>
      <c r="H8" s="91" t="n">
        <v>89.65</v>
      </c>
      <c r="I8" s="88" t="s">
        <v>136</v>
      </c>
      <c r="J8" s="88" t="s">
        <v>131</v>
      </c>
    </row>
    <row r="9" customFormat="false" ht="15.75" hidden="false" customHeight="true" outlineLevel="0" collapsed="false">
      <c r="A9" s="92" t="n">
        <v>46106</v>
      </c>
      <c r="B9" s="1" t="s">
        <v>127</v>
      </c>
      <c r="C9" s="1" t="s">
        <v>100</v>
      </c>
      <c r="D9" s="1" t="s">
        <v>128</v>
      </c>
      <c r="E9" s="67" t="n">
        <v>14</v>
      </c>
      <c r="F9" s="49" t="n">
        <v>110.859375</v>
      </c>
      <c r="G9" s="1" t="s">
        <v>129</v>
      </c>
      <c r="H9" s="50" t="n">
        <v>155.203125</v>
      </c>
      <c r="I9" s="1" t="s">
        <v>137</v>
      </c>
      <c r="J9" s="1" t="s">
        <v>131</v>
      </c>
    </row>
    <row r="10" customFormat="false" ht="15.75" hidden="false" customHeight="true" outlineLevel="0" collapsed="false">
      <c r="A10" s="87" t="n">
        <v>46113</v>
      </c>
      <c r="B10" s="88" t="s">
        <v>127</v>
      </c>
      <c r="C10" s="88" t="s">
        <v>100</v>
      </c>
      <c r="D10" s="88" t="s">
        <v>132</v>
      </c>
      <c r="E10" s="89" t="n">
        <v>2</v>
      </c>
      <c r="F10" s="90" t="n">
        <v>111</v>
      </c>
      <c r="G10" s="88" t="s">
        <v>129</v>
      </c>
      <c r="H10" s="91" t="n">
        <v>22.2</v>
      </c>
      <c r="I10" s="88" t="s">
        <v>138</v>
      </c>
      <c r="J10" s="88" t="s">
        <v>131</v>
      </c>
    </row>
    <row r="11" customFormat="false" ht="15.75" hidden="false" customHeight="true" outlineLevel="0" collapsed="false">
      <c r="A11" s="92" t="n">
        <v>46115</v>
      </c>
      <c r="B11" s="1" t="s">
        <v>127</v>
      </c>
      <c r="C11" s="1" t="s">
        <v>100</v>
      </c>
      <c r="D11" s="1" t="s">
        <v>128</v>
      </c>
      <c r="E11" s="67" t="n">
        <v>3</v>
      </c>
      <c r="F11" s="49" t="n">
        <v>110.75</v>
      </c>
      <c r="G11" s="1" t="s">
        <v>129</v>
      </c>
      <c r="H11" s="50" t="n">
        <v>33.225</v>
      </c>
      <c r="I11" s="1" t="s">
        <v>134</v>
      </c>
      <c r="J11" s="1" t="s">
        <v>131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2026-02-27T02:47:00Z</dcterms:created>
  <dc:creator>Tejasvi Gupta</dc:creator>
  <dc:description/>
  <dc:language>en-US</dc:language>
  <cp:lastModifiedBy>Tejasvi Gupta</cp:lastModifiedBy>
  <dcterms:modified xsi:type="dcterms:W3CDTF">2026-07-05T21:33:22Z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alculationRule">
    <vt:i4>0</vt:i4>
  </property>
  <property fmtid="{D5CDD505-2E9C-101B-9397-08002B2CF9AE}" pid="3" name="ICV">
    <vt:lpwstr>771AC9F08D164562954B5396C6D968CA_13</vt:lpwstr>
  </property>
  <property fmtid="{D5CDD505-2E9C-101B-9397-08002B2CF9AE}" pid="4" name="KSOProductBuildVer">
    <vt:lpwstr>2052-12.1.0.25225</vt:lpwstr>
  </property>
</Properties>
</file>